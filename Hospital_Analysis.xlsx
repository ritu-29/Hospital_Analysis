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Ritu\Desktop\EXCEL_FILES\EXCEL PROJECT\"/>
    </mc:Choice>
  </mc:AlternateContent>
  <xr:revisionPtr revIDLastSave="0" documentId="13_ncr:1_{0A210BA6-135A-499A-AF58-01FF86B7BFD4}" xr6:coauthVersionLast="47" xr6:coauthVersionMax="47" xr10:uidLastSave="{00000000-0000-0000-0000-000000000000}"/>
  <bookViews>
    <workbookView xWindow="-108" yWindow="-108" windowWidth="23256" windowHeight="12456" tabRatio="666" activeTab="1" xr2:uid="{C7F9F568-2AB6-4016-9155-B19824841240}"/>
  </bookViews>
  <sheets>
    <sheet name="Hospital_data" sheetId="1" r:id="rId1"/>
    <sheet name="Dashboard" sheetId="9" r:id="rId2"/>
    <sheet name="Bar chart " sheetId="3" r:id="rId3"/>
    <sheet name="Column chart2" sheetId="4" r:id="rId4"/>
    <sheet name="Column chart" sheetId="5" r:id="rId5"/>
    <sheet name="Pie chart" sheetId="6" r:id="rId6"/>
    <sheet name="Line chart" sheetId="7" r:id="rId7"/>
    <sheet name="Bar chart2" sheetId="8" r:id="rId8"/>
  </sheets>
  <definedNames>
    <definedName name="Slicer_A_Month_name">#N/A</definedName>
    <definedName name="Slicer_A_Year">#N/A</definedName>
    <definedName name="Slicer_City">#N/A</definedName>
    <definedName name="Slicer_D_Month_name">#N/A</definedName>
    <definedName name="Slicer_D_Year">#N/A</definedName>
    <definedName name="Slicer_Gend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6" i="1" l="1"/>
  <c r="V4" i="1"/>
  <c r="V5" i="1"/>
  <c r="V11" i="1"/>
  <c r="U22" i="1"/>
  <c r="S251" i="1"/>
  <c r="R251" i="1"/>
  <c r="Q251" i="1"/>
  <c r="P251" i="1"/>
  <c r="O251" i="1"/>
  <c r="S250" i="1"/>
  <c r="R250" i="1"/>
  <c r="Q250" i="1"/>
  <c r="P250" i="1"/>
  <c r="O250" i="1"/>
  <c r="S249" i="1"/>
  <c r="R249" i="1"/>
  <c r="Q249" i="1"/>
  <c r="P249" i="1"/>
  <c r="O249" i="1"/>
  <c r="S248" i="1"/>
  <c r="R248" i="1"/>
  <c r="Q248" i="1"/>
  <c r="P248" i="1"/>
  <c r="O248" i="1"/>
  <c r="S247" i="1"/>
  <c r="R247" i="1"/>
  <c r="Q247" i="1"/>
  <c r="P247" i="1"/>
  <c r="O247" i="1"/>
  <c r="S246" i="1"/>
  <c r="R246" i="1"/>
  <c r="Q246" i="1"/>
  <c r="P246" i="1"/>
  <c r="O246" i="1"/>
  <c r="S245" i="1"/>
  <c r="R245" i="1"/>
  <c r="Q245" i="1"/>
  <c r="P245" i="1"/>
  <c r="O245" i="1"/>
  <c r="S244" i="1"/>
  <c r="R244" i="1"/>
  <c r="Q244" i="1"/>
  <c r="P244" i="1"/>
  <c r="O244" i="1"/>
  <c r="S243" i="1"/>
  <c r="R243" i="1"/>
  <c r="Q243" i="1"/>
  <c r="P243" i="1"/>
  <c r="O243" i="1"/>
  <c r="S242" i="1"/>
  <c r="R242" i="1"/>
  <c r="Q242" i="1"/>
  <c r="P242" i="1"/>
  <c r="O242" i="1"/>
  <c r="S241" i="1"/>
  <c r="R241" i="1"/>
  <c r="Q241" i="1"/>
  <c r="P241" i="1"/>
  <c r="O241" i="1"/>
  <c r="S240" i="1"/>
  <c r="R240" i="1"/>
  <c r="Q240" i="1"/>
  <c r="P240" i="1"/>
  <c r="O240" i="1"/>
  <c r="S239" i="1"/>
  <c r="R239" i="1"/>
  <c r="Q239" i="1"/>
  <c r="P239" i="1"/>
  <c r="O239" i="1"/>
  <c r="S238" i="1"/>
  <c r="R238" i="1"/>
  <c r="Q238" i="1"/>
  <c r="P238" i="1"/>
  <c r="O238" i="1"/>
  <c r="S237" i="1"/>
  <c r="R237" i="1"/>
  <c r="Q237" i="1"/>
  <c r="P237" i="1"/>
  <c r="O237" i="1"/>
  <c r="S236" i="1"/>
  <c r="R236" i="1"/>
  <c r="Q236" i="1"/>
  <c r="P236" i="1"/>
  <c r="O236" i="1"/>
  <c r="S235" i="1"/>
  <c r="R235" i="1"/>
  <c r="Q235" i="1"/>
  <c r="P235" i="1"/>
  <c r="O235" i="1"/>
  <c r="S234" i="1"/>
  <c r="R234" i="1"/>
  <c r="Q234" i="1"/>
  <c r="P234" i="1"/>
  <c r="O234" i="1"/>
  <c r="S233" i="1"/>
  <c r="R233" i="1"/>
  <c r="Q233" i="1"/>
  <c r="P233" i="1"/>
  <c r="O233" i="1"/>
  <c r="S232" i="1"/>
  <c r="R232" i="1"/>
  <c r="Q232" i="1"/>
  <c r="P232" i="1"/>
  <c r="O232" i="1"/>
  <c r="S231" i="1"/>
  <c r="R231" i="1"/>
  <c r="Q231" i="1"/>
  <c r="P231" i="1"/>
  <c r="O231" i="1"/>
  <c r="S230" i="1"/>
  <c r="R230" i="1"/>
  <c r="Q230" i="1"/>
  <c r="P230" i="1"/>
  <c r="O230" i="1"/>
  <c r="S229" i="1"/>
  <c r="R229" i="1"/>
  <c r="Q229" i="1"/>
  <c r="P229" i="1"/>
  <c r="O229" i="1"/>
  <c r="S228" i="1"/>
  <c r="R228" i="1"/>
  <c r="Q228" i="1"/>
  <c r="P228" i="1"/>
  <c r="O228" i="1"/>
  <c r="S227" i="1"/>
  <c r="R227" i="1"/>
  <c r="Q227" i="1"/>
  <c r="P227" i="1"/>
  <c r="O227" i="1"/>
  <c r="S226" i="1"/>
  <c r="R226" i="1"/>
  <c r="Q226" i="1"/>
  <c r="P226" i="1"/>
  <c r="O226" i="1"/>
  <c r="S225" i="1"/>
  <c r="R225" i="1"/>
  <c r="Q225" i="1"/>
  <c r="P225" i="1"/>
  <c r="O225" i="1"/>
  <c r="S224" i="1"/>
  <c r="R224" i="1"/>
  <c r="Q224" i="1"/>
  <c r="P224" i="1"/>
  <c r="O224" i="1"/>
  <c r="S223" i="1"/>
  <c r="R223" i="1"/>
  <c r="Q223" i="1"/>
  <c r="P223" i="1"/>
  <c r="O223" i="1"/>
  <c r="S222" i="1"/>
  <c r="R222" i="1"/>
  <c r="Q222" i="1"/>
  <c r="P222" i="1"/>
  <c r="O222" i="1"/>
  <c r="S221" i="1"/>
  <c r="R221" i="1"/>
  <c r="Q221" i="1"/>
  <c r="P221" i="1"/>
  <c r="O221" i="1"/>
  <c r="S220" i="1"/>
  <c r="R220" i="1"/>
  <c r="Q220" i="1"/>
  <c r="P220" i="1"/>
  <c r="O220" i="1"/>
  <c r="S219" i="1"/>
  <c r="R219" i="1"/>
  <c r="Q219" i="1"/>
  <c r="P219" i="1"/>
  <c r="O219" i="1"/>
  <c r="S218" i="1"/>
  <c r="R218" i="1"/>
  <c r="Q218" i="1"/>
  <c r="P218" i="1"/>
  <c r="O218" i="1"/>
  <c r="S217" i="1"/>
  <c r="R217" i="1"/>
  <c r="Q217" i="1"/>
  <c r="P217" i="1"/>
  <c r="O217" i="1"/>
  <c r="S216" i="1"/>
  <c r="R216" i="1"/>
  <c r="Q216" i="1"/>
  <c r="P216" i="1"/>
  <c r="O216" i="1"/>
  <c r="S215" i="1"/>
  <c r="R215" i="1"/>
  <c r="Q215" i="1"/>
  <c r="P215" i="1"/>
  <c r="O215" i="1"/>
  <c r="S214" i="1"/>
  <c r="R214" i="1"/>
  <c r="Q214" i="1"/>
  <c r="P214" i="1"/>
  <c r="O214" i="1"/>
  <c r="S213" i="1"/>
  <c r="R213" i="1"/>
  <c r="Q213" i="1"/>
  <c r="P213" i="1"/>
  <c r="O213" i="1"/>
  <c r="S212" i="1"/>
  <c r="R212" i="1"/>
  <c r="Q212" i="1"/>
  <c r="P212" i="1"/>
  <c r="O212" i="1"/>
  <c r="S211" i="1"/>
  <c r="R211" i="1"/>
  <c r="Q211" i="1"/>
  <c r="P211" i="1"/>
  <c r="O211" i="1"/>
  <c r="S210" i="1"/>
  <c r="R210" i="1"/>
  <c r="Q210" i="1"/>
  <c r="P210" i="1"/>
  <c r="O210" i="1"/>
  <c r="S209" i="1"/>
  <c r="R209" i="1"/>
  <c r="Q209" i="1"/>
  <c r="P209" i="1"/>
  <c r="O209" i="1"/>
  <c r="S208" i="1"/>
  <c r="R208" i="1"/>
  <c r="Q208" i="1"/>
  <c r="P208" i="1"/>
  <c r="O208" i="1"/>
  <c r="S207" i="1"/>
  <c r="R207" i="1"/>
  <c r="Q207" i="1"/>
  <c r="P207" i="1"/>
  <c r="O207" i="1"/>
  <c r="S206" i="1"/>
  <c r="R206" i="1"/>
  <c r="Q206" i="1"/>
  <c r="P206" i="1"/>
  <c r="O206" i="1"/>
  <c r="S205" i="1"/>
  <c r="R205" i="1"/>
  <c r="Q205" i="1"/>
  <c r="P205" i="1"/>
  <c r="O205" i="1"/>
  <c r="S204" i="1"/>
  <c r="R204" i="1"/>
  <c r="Q204" i="1"/>
  <c r="P204" i="1"/>
  <c r="O204" i="1"/>
  <c r="S203" i="1"/>
  <c r="R203" i="1"/>
  <c r="Q203" i="1"/>
  <c r="P203" i="1"/>
  <c r="O203" i="1"/>
  <c r="S202" i="1"/>
  <c r="R202" i="1"/>
  <c r="Q202" i="1"/>
  <c r="P202" i="1"/>
  <c r="O202" i="1"/>
  <c r="S201" i="1"/>
  <c r="R201" i="1"/>
  <c r="Q201" i="1"/>
  <c r="P201" i="1"/>
  <c r="O201" i="1"/>
  <c r="S200" i="1"/>
  <c r="R200" i="1"/>
  <c r="Q200" i="1"/>
  <c r="P200" i="1"/>
  <c r="O200" i="1"/>
  <c r="S199" i="1"/>
  <c r="R199" i="1"/>
  <c r="Q199" i="1"/>
  <c r="P199" i="1"/>
  <c r="O199" i="1"/>
  <c r="S198" i="1"/>
  <c r="R198" i="1"/>
  <c r="Q198" i="1"/>
  <c r="P198" i="1"/>
  <c r="O198" i="1"/>
  <c r="S197" i="1"/>
  <c r="R197" i="1"/>
  <c r="Q197" i="1"/>
  <c r="P197" i="1"/>
  <c r="O197" i="1"/>
  <c r="S196" i="1"/>
  <c r="R196" i="1"/>
  <c r="Q196" i="1"/>
  <c r="P196" i="1"/>
  <c r="O196" i="1"/>
  <c r="S195" i="1"/>
  <c r="R195" i="1"/>
  <c r="Q195" i="1"/>
  <c r="P195" i="1"/>
  <c r="O195" i="1"/>
  <c r="S194" i="1"/>
  <c r="R194" i="1"/>
  <c r="Q194" i="1"/>
  <c r="P194" i="1"/>
  <c r="O194" i="1"/>
  <c r="S193" i="1"/>
  <c r="R193" i="1"/>
  <c r="Q193" i="1"/>
  <c r="P193" i="1"/>
  <c r="O193" i="1"/>
  <c r="S192" i="1"/>
  <c r="R192" i="1"/>
  <c r="Q192" i="1"/>
  <c r="P192" i="1"/>
  <c r="O192" i="1"/>
  <c r="S191" i="1"/>
  <c r="R191" i="1"/>
  <c r="Q191" i="1"/>
  <c r="P191" i="1"/>
  <c r="O191" i="1"/>
  <c r="S190" i="1"/>
  <c r="R190" i="1"/>
  <c r="Q190" i="1"/>
  <c r="P190" i="1"/>
  <c r="O190" i="1"/>
  <c r="S189" i="1"/>
  <c r="R189" i="1"/>
  <c r="Q189" i="1"/>
  <c r="P189" i="1"/>
  <c r="O189" i="1"/>
  <c r="S188" i="1"/>
  <c r="R188" i="1"/>
  <c r="Q188" i="1"/>
  <c r="P188" i="1"/>
  <c r="O188" i="1"/>
  <c r="S187" i="1"/>
  <c r="R187" i="1"/>
  <c r="Q187" i="1"/>
  <c r="P187" i="1"/>
  <c r="O187" i="1"/>
  <c r="S186" i="1"/>
  <c r="R186" i="1"/>
  <c r="Q186" i="1"/>
  <c r="P186" i="1"/>
  <c r="O186" i="1"/>
  <c r="S185" i="1"/>
  <c r="R185" i="1"/>
  <c r="Q185" i="1"/>
  <c r="P185" i="1"/>
  <c r="O185" i="1"/>
  <c r="S184" i="1"/>
  <c r="R184" i="1"/>
  <c r="Q184" i="1"/>
  <c r="P184" i="1"/>
  <c r="O184" i="1"/>
  <c r="S183" i="1"/>
  <c r="R183" i="1"/>
  <c r="Q183" i="1"/>
  <c r="P183" i="1"/>
  <c r="O183" i="1"/>
  <c r="S182" i="1"/>
  <c r="R182" i="1"/>
  <c r="Q182" i="1"/>
  <c r="P182" i="1"/>
  <c r="O182" i="1"/>
  <c r="S181" i="1"/>
  <c r="R181" i="1"/>
  <c r="Q181" i="1"/>
  <c r="P181" i="1"/>
  <c r="O181" i="1"/>
  <c r="S180" i="1"/>
  <c r="R180" i="1"/>
  <c r="Q180" i="1"/>
  <c r="P180" i="1"/>
  <c r="O180" i="1"/>
  <c r="S179" i="1"/>
  <c r="R179" i="1"/>
  <c r="Q179" i="1"/>
  <c r="P179" i="1"/>
  <c r="O179" i="1"/>
  <c r="S178" i="1"/>
  <c r="R178" i="1"/>
  <c r="Q178" i="1"/>
  <c r="P178" i="1"/>
  <c r="O178" i="1"/>
  <c r="S177" i="1"/>
  <c r="R177" i="1"/>
  <c r="Q177" i="1"/>
  <c r="P177" i="1"/>
  <c r="O177" i="1"/>
  <c r="S176" i="1"/>
  <c r="R176" i="1"/>
  <c r="Q176" i="1"/>
  <c r="P176" i="1"/>
  <c r="O176" i="1"/>
  <c r="S175" i="1"/>
  <c r="R175" i="1"/>
  <c r="Q175" i="1"/>
  <c r="P175" i="1"/>
  <c r="O175" i="1"/>
  <c r="S174" i="1"/>
  <c r="R174" i="1"/>
  <c r="Q174" i="1"/>
  <c r="P174" i="1"/>
  <c r="O174" i="1"/>
  <c r="S173" i="1"/>
  <c r="R173" i="1"/>
  <c r="Q173" i="1"/>
  <c r="P173" i="1"/>
  <c r="O173" i="1"/>
  <c r="S172" i="1"/>
  <c r="R172" i="1"/>
  <c r="Q172" i="1"/>
  <c r="P172" i="1"/>
  <c r="O172" i="1"/>
  <c r="S171" i="1"/>
  <c r="R171" i="1"/>
  <c r="Q171" i="1"/>
  <c r="P171" i="1"/>
  <c r="O171" i="1"/>
  <c r="S170" i="1"/>
  <c r="R170" i="1"/>
  <c r="Q170" i="1"/>
  <c r="P170" i="1"/>
  <c r="O170" i="1"/>
  <c r="S169" i="1"/>
  <c r="R169" i="1"/>
  <c r="Q169" i="1"/>
  <c r="P169" i="1"/>
  <c r="O169" i="1"/>
  <c r="S168" i="1"/>
  <c r="R168" i="1"/>
  <c r="Q168" i="1"/>
  <c r="P168" i="1"/>
  <c r="O168" i="1"/>
  <c r="S167" i="1"/>
  <c r="R167" i="1"/>
  <c r="Q167" i="1"/>
  <c r="P167" i="1"/>
  <c r="O167" i="1"/>
  <c r="S166" i="1"/>
  <c r="R166" i="1"/>
  <c r="Q166" i="1"/>
  <c r="P166" i="1"/>
  <c r="O166" i="1"/>
  <c r="S165" i="1"/>
  <c r="R165" i="1"/>
  <c r="Q165" i="1"/>
  <c r="P165" i="1"/>
  <c r="O165" i="1"/>
  <c r="S164" i="1"/>
  <c r="R164" i="1"/>
  <c r="Q164" i="1"/>
  <c r="P164" i="1"/>
  <c r="O164" i="1"/>
  <c r="S163" i="1"/>
  <c r="R163" i="1"/>
  <c r="Q163" i="1"/>
  <c r="P163" i="1"/>
  <c r="O163" i="1"/>
  <c r="S162" i="1"/>
  <c r="R162" i="1"/>
  <c r="Q162" i="1"/>
  <c r="P162" i="1"/>
  <c r="O162" i="1"/>
  <c r="S161" i="1"/>
  <c r="R161" i="1"/>
  <c r="Q161" i="1"/>
  <c r="P161" i="1"/>
  <c r="O161" i="1"/>
  <c r="S160" i="1"/>
  <c r="R160" i="1"/>
  <c r="Q160" i="1"/>
  <c r="P160" i="1"/>
  <c r="O160" i="1"/>
  <c r="S159" i="1"/>
  <c r="R159" i="1"/>
  <c r="Q159" i="1"/>
  <c r="P159" i="1"/>
  <c r="O159" i="1"/>
  <c r="S158" i="1"/>
  <c r="R158" i="1"/>
  <c r="Q158" i="1"/>
  <c r="P158" i="1"/>
  <c r="O158" i="1"/>
  <c r="S157" i="1"/>
  <c r="R157" i="1"/>
  <c r="Q157" i="1"/>
  <c r="P157" i="1"/>
  <c r="O157" i="1"/>
  <c r="S156" i="1"/>
  <c r="R156" i="1"/>
  <c r="Q156" i="1"/>
  <c r="P156" i="1"/>
  <c r="O156" i="1"/>
  <c r="S155" i="1"/>
  <c r="R155" i="1"/>
  <c r="Q155" i="1"/>
  <c r="P155" i="1"/>
  <c r="O155" i="1"/>
  <c r="S154" i="1"/>
  <c r="R154" i="1"/>
  <c r="Q154" i="1"/>
  <c r="P154" i="1"/>
  <c r="O154" i="1"/>
  <c r="S153" i="1"/>
  <c r="R153" i="1"/>
  <c r="Q153" i="1"/>
  <c r="P153" i="1"/>
  <c r="O153" i="1"/>
  <c r="S152" i="1"/>
  <c r="R152" i="1"/>
  <c r="Q152" i="1"/>
  <c r="P152" i="1"/>
  <c r="O152" i="1"/>
  <c r="S151" i="1"/>
  <c r="R151" i="1"/>
  <c r="Q151" i="1"/>
  <c r="P151" i="1"/>
  <c r="O151" i="1"/>
  <c r="S150" i="1"/>
  <c r="R150" i="1"/>
  <c r="Q150" i="1"/>
  <c r="P150" i="1"/>
  <c r="O150" i="1"/>
  <c r="S149" i="1"/>
  <c r="R149" i="1"/>
  <c r="Q149" i="1"/>
  <c r="P149" i="1"/>
  <c r="O149" i="1"/>
  <c r="S148" i="1"/>
  <c r="R148" i="1"/>
  <c r="Q148" i="1"/>
  <c r="P148" i="1"/>
  <c r="O148" i="1"/>
  <c r="S147" i="1"/>
  <c r="R147" i="1"/>
  <c r="Q147" i="1"/>
  <c r="P147" i="1"/>
  <c r="O147" i="1"/>
  <c r="S146" i="1"/>
  <c r="R146" i="1"/>
  <c r="Q146" i="1"/>
  <c r="P146" i="1"/>
  <c r="O146" i="1"/>
  <c r="S145" i="1"/>
  <c r="R145" i="1"/>
  <c r="Q145" i="1"/>
  <c r="P145" i="1"/>
  <c r="O145" i="1"/>
  <c r="S144" i="1"/>
  <c r="R144" i="1"/>
  <c r="Q144" i="1"/>
  <c r="P144" i="1"/>
  <c r="O144" i="1"/>
  <c r="S143" i="1"/>
  <c r="R143" i="1"/>
  <c r="Q143" i="1"/>
  <c r="P143" i="1"/>
  <c r="O143" i="1"/>
  <c r="S142" i="1"/>
  <c r="R142" i="1"/>
  <c r="Q142" i="1"/>
  <c r="P142" i="1"/>
  <c r="O142" i="1"/>
  <c r="S141" i="1"/>
  <c r="R141" i="1"/>
  <c r="Q141" i="1"/>
  <c r="P141" i="1"/>
  <c r="O141" i="1"/>
  <c r="S140" i="1"/>
  <c r="R140" i="1"/>
  <c r="Q140" i="1"/>
  <c r="P140" i="1"/>
  <c r="O140" i="1"/>
  <c r="S139" i="1"/>
  <c r="R139" i="1"/>
  <c r="Q139" i="1"/>
  <c r="P139" i="1"/>
  <c r="O139" i="1"/>
  <c r="S138" i="1"/>
  <c r="R138" i="1"/>
  <c r="Q138" i="1"/>
  <c r="P138" i="1"/>
  <c r="O138" i="1"/>
  <c r="S137" i="1"/>
  <c r="R137" i="1"/>
  <c r="Q137" i="1"/>
  <c r="P137" i="1"/>
  <c r="O137" i="1"/>
  <c r="S136" i="1"/>
  <c r="R136" i="1"/>
  <c r="Q136" i="1"/>
  <c r="P136" i="1"/>
  <c r="O136" i="1"/>
  <c r="S135" i="1"/>
  <c r="R135" i="1"/>
  <c r="Q135" i="1"/>
  <c r="P135" i="1"/>
  <c r="O135" i="1"/>
  <c r="S134" i="1"/>
  <c r="R134" i="1"/>
  <c r="Q134" i="1"/>
  <c r="P134" i="1"/>
  <c r="O134" i="1"/>
  <c r="S133" i="1"/>
  <c r="R133" i="1"/>
  <c r="Q133" i="1"/>
  <c r="P133" i="1"/>
  <c r="O133" i="1"/>
  <c r="S132" i="1"/>
  <c r="R132" i="1"/>
  <c r="Q132" i="1"/>
  <c r="P132" i="1"/>
  <c r="O132" i="1"/>
  <c r="S131" i="1"/>
  <c r="R131" i="1"/>
  <c r="Q131" i="1"/>
  <c r="P131" i="1"/>
  <c r="O131" i="1"/>
  <c r="S130" i="1"/>
  <c r="R130" i="1"/>
  <c r="Q130" i="1"/>
  <c r="P130" i="1"/>
  <c r="O130" i="1"/>
  <c r="S129" i="1"/>
  <c r="R129" i="1"/>
  <c r="Q129" i="1"/>
  <c r="P129" i="1"/>
  <c r="O129" i="1"/>
  <c r="S128" i="1"/>
  <c r="R128" i="1"/>
  <c r="Q128" i="1"/>
  <c r="P128" i="1"/>
  <c r="O128" i="1"/>
  <c r="S127" i="1"/>
  <c r="R127" i="1"/>
  <c r="Q127" i="1"/>
  <c r="P127" i="1"/>
  <c r="O127" i="1"/>
  <c r="S126" i="1"/>
  <c r="R126" i="1"/>
  <c r="Q126" i="1"/>
  <c r="P126" i="1"/>
  <c r="O126" i="1"/>
  <c r="S125" i="1"/>
  <c r="R125" i="1"/>
  <c r="Q125" i="1"/>
  <c r="P125" i="1"/>
  <c r="O125" i="1"/>
  <c r="S124" i="1"/>
  <c r="R124" i="1"/>
  <c r="Q124" i="1"/>
  <c r="P124" i="1"/>
  <c r="O124" i="1"/>
  <c r="S123" i="1"/>
  <c r="R123" i="1"/>
  <c r="Q123" i="1"/>
  <c r="P123" i="1"/>
  <c r="O123" i="1"/>
  <c r="S122" i="1"/>
  <c r="R122" i="1"/>
  <c r="Q122" i="1"/>
  <c r="P122" i="1"/>
  <c r="O122" i="1"/>
  <c r="S121" i="1"/>
  <c r="R121" i="1"/>
  <c r="Q121" i="1"/>
  <c r="P121" i="1"/>
  <c r="O121" i="1"/>
  <c r="S120" i="1"/>
  <c r="R120" i="1"/>
  <c r="Q120" i="1"/>
  <c r="P120" i="1"/>
  <c r="O120" i="1"/>
  <c r="S119" i="1"/>
  <c r="R119" i="1"/>
  <c r="Q119" i="1"/>
  <c r="P119" i="1"/>
  <c r="O119" i="1"/>
  <c r="S118" i="1"/>
  <c r="R118" i="1"/>
  <c r="Q118" i="1"/>
  <c r="P118" i="1"/>
  <c r="O118" i="1"/>
  <c r="S117" i="1"/>
  <c r="R117" i="1"/>
  <c r="Q117" i="1"/>
  <c r="P117" i="1"/>
  <c r="O117" i="1"/>
  <c r="S116" i="1"/>
  <c r="R116" i="1"/>
  <c r="Q116" i="1"/>
  <c r="P116" i="1"/>
  <c r="O116" i="1"/>
  <c r="S115" i="1"/>
  <c r="R115" i="1"/>
  <c r="Q115" i="1"/>
  <c r="P115" i="1"/>
  <c r="O115" i="1"/>
  <c r="S114" i="1"/>
  <c r="R114" i="1"/>
  <c r="Q114" i="1"/>
  <c r="P114" i="1"/>
  <c r="O114" i="1"/>
  <c r="S113" i="1"/>
  <c r="R113" i="1"/>
  <c r="Q113" i="1"/>
  <c r="P113" i="1"/>
  <c r="O113" i="1"/>
  <c r="S112" i="1"/>
  <c r="R112" i="1"/>
  <c r="Q112" i="1"/>
  <c r="P112" i="1"/>
  <c r="O112" i="1"/>
  <c r="S111" i="1"/>
  <c r="R111" i="1"/>
  <c r="Q111" i="1"/>
  <c r="P111" i="1"/>
  <c r="O111" i="1"/>
  <c r="S110" i="1"/>
  <c r="R110" i="1"/>
  <c r="Q110" i="1"/>
  <c r="P110" i="1"/>
  <c r="O110" i="1"/>
  <c r="S109" i="1"/>
  <c r="R109" i="1"/>
  <c r="Q109" i="1"/>
  <c r="P109" i="1"/>
  <c r="O109" i="1"/>
  <c r="S108" i="1"/>
  <c r="R108" i="1"/>
  <c r="Q108" i="1"/>
  <c r="P108" i="1"/>
  <c r="O108" i="1"/>
  <c r="S107" i="1"/>
  <c r="R107" i="1"/>
  <c r="Q107" i="1"/>
  <c r="P107" i="1"/>
  <c r="O107" i="1"/>
  <c r="S106" i="1"/>
  <c r="R106" i="1"/>
  <c r="Q106" i="1"/>
  <c r="P106" i="1"/>
  <c r="O106" i="1"/>
  <c r="S105" i="1"/>
  <c r="R105" i="1"/>
  <c r="Q105" i="1"/>
  <c r="P105" i="1"/>
  <c r="O105" i="1"/>
  <c r="S104" i="1"/>
  <c r="R104" i="1"/>
  <c r="Q104" i="1"/>
  <c r="P104" i="1"/>
  <c r="O104" i="1"/>
  <c r="S103" i="1"/>
  <c r="R103" i="1"/>
  <c r="Q103" i="1"/>
  <c r="P103" i="1"/>
  <c r="O103" i="1"/>
  <c r="S102" i="1"/>
  <c r="R102" i="1"/>
  <c r="Q102" i="1"/>
  <c r="P102" i="1"/>
  <c r="O102" i="1"/>
  <c r="S101" i="1"/>
  <c r="R101" i="1"/>
  <c r="Q101" i="1"/>
  <c r="P101" i="1"/>
  <c r="O101" i="1"/>
  <c r="S100" i="1"/>
  <c r="R100" i="1"/>
  <c r="Q100" i="1"/>
  <c r="P100" i="1"/>
  <c r="O100" i="1"/>
  <c r="S99" i="1"/>
  <c r="R99" i="1"/>
  <c r="Q99" i="1"/>
  <c r="P99" i="1"/>
  <c r="O99" i="1"/>
  <c r="S98" i="1"/>
  <c r="R98" i="1"/>
  <c r="Q98" i="1"/>
  <c r="P98" i="1"/>
  <c r="O98" i="1"/>
  <c r="S97" i="1"/>
  <c r="R97" i="1"/>
  <c r="Q97" i="1"/>
  <c r="P97" i="1"/>
  <c r="O97" i="1"/>
  <c r="S96" i="1"/>
  <c r="R96" i="1"/>
  <c r="Q96" i="1"/>
  <c r="P96" i="1"/>
  <c r="O96" i="1"/>
  <c r="S95" i="1"/>
  <c r="R95" i="1"/>
  <c r="Q95" i="1"/>
  <c r="P95" i="1"/>
  <c r="O95" i="1"/>
  <c r="S94" i="1"/>
  <c r="R94" i="1"/>
  <c r="Q94" i="1"/>
  <c r="P94" i="1"/>
  <c r="O94" i="1"/>
  <c r="S93" i="1"/>
  <c r="R93" i="1"/>
  <c r="Q93" i="1"/>
  <c r="P93" i="1"/>
  <c r="O93" i="1"/>
  <c r="S92" i="1"/>
  <c r="R92" i="1"/>
  <c r="Q92" i="1"/>
  <c r="P92" i="1"/>
  <c r="O92" i="1"/>
  <c r="S91" i="1"/>
  <c r="R91" i="1"/>
  <c r="Q91" i="1"/>
  <c r="P91" i="1"/>
  <c r="O91" i="1"/>
  <c r="S90" i="1"/>
  <c r="R90" i="1"/>
  <c r="Q90" i="1"/>
  <c r="P90" i="1"/>
  <c r="O90" i="1"/>
  <c r="S89" i="1"/>
  <c r="R89" i="1"/>
  <c r="Q89" i="1"/>
  <c r="P89" i="1"/>
  <c r="O89" i="1"/>
  <c r="S88" i="1"/>
  <c r="R88" i="1"/>
  <c r="Q88" i="1"/>
  <c r="P88" i="1"/>
  <c r="O88" i="1"/>
  <c r="S87" i="1"/>
  <c r="R87" i="1"/>
  <c r="Q87" i="1"/>
  <c r="P87" i="1"/>
  <c r="O87" i="1"/>
  <c r="S86" i="1"/>
  <c r="R86" i="1"/>
  <c r="Q86" i="1"/>
  <c r="P86" i="1"/>
  <c r="O86" i="1"/>
  <c r="S85" i="1"/>
  <c r="R85" i="1"/>
  <c r="Q85" i="1"/>
  <c r="P85" i="1"/>
  <c r="O85" i="1"/>
  <c r="S84" i="1"/>
  <c r="R84" i="1"/>
  <c r="Q84" i="1"/>
  <c r="P84" i="1"/>
  <c r="O84" i="1"/>
  <c r="S83" i="1"/>
  <c r="R83" i="1"/>
  <c r="Q83" i="1"/>
  <c r="P83" i="1"/>
  <c r="O83" i="1"/>
  <c r="S82" i="1"/>
  <c r="R82" i="1"/>
  <c r="Q82" i="1"/>
  <c r="P82" i="1"/>
  <c r="O82" i="1"/>
  <c r="S81" i="1"/>
  <c r="R81" i="1"/>
  <c r="Q81" i="1"/>
  <c r="P81" i="1"/>
  <c r="O81" i="1"/>
  <c r="S80" i="1"/>
  <c r="R80" i="1"/>
  <c r="Q80" i="1"/>
  <c r="P80" i="1"/>
  <c r="O80" i="1"/>
  <c r="S79" i="1"/>
  <c r="R79" i="1"/>
  <c r="Q79" i="1"/>
  <c r="P79" i="1"/>
  <c r="O79" i="1"/>
  <c r="S78" i="1"/>
  <c r="R78" i="1"/>
  <c r="Q78" i="1"/>
  <c r="P78" i="1"/>
  <c r="O78" i="1"/>
  <c r="S77" i="1"/>
  <c r="R77" i="1"/>
  <c r="Q77" i="1"/>
  <c r="P77" i="1"/>
  <c r="O77" i="1"/>
  <c r="S76" i="1"/>
  <c r="R76" i="1"/>
  <c r="Q76" i="1"/>
  <c r="P76" i="1"/>
  <c r="O76" i="1"/>
  <c r="S75" i="1"/>
  <c r="R75" i="1"/>
  <c r="Q75" i="1"/>
  <c r="P75" i="1"/>
  <c r="O75" i="1"/>
  <c r="S74" i="1"/>
  <c r="R74" i="1"/>
  <c r="Q74" i="1"/>
  <c r="P74" i="1"/>
  <c r="O74" i="1"/>
  <c r="S73" i="1"/>
  <c r="R73" i="1"/>
  <c r="Q73" i="1"/>
  <c r="P73" i="1"/>
  <c r="O73" i="1"/>
  <c r="S72" i="1"/>
  <c r="R72" i="1"/>
  <c r="Q72" i="1"/>
  <c r="P72" i="1"/>
  <c r="O72" i="1"/>
  <c r="S71" i="1"/>
  <c r="R71" i="1"/>
  <c r="Q71" i="1"/>
  <c r="P71" i="1"/>
  <c r="O71" i="1"/>
  <c r="S70" i="1"/>
  <c r="R70" i="1"/>
  <c r="Q70" i="1"/>
  <c r="P70" i="1"/>
  <c r="O70" i="1"/>
  <c r="S69" i="1"/>
  <c r="R69" i="1"/>
  <c r="Q69" i="1"/>
  <c r="P69" i="1"/>
  <c r="O69" i="1"/>
  <c r="S68" i="1"/>
  <c r="R68" i="1"/>
  <c r="Q68" i="1"/>
  <c r="P68" i="1"/>
  <c r="O68" i="1"/>
  <c r="S67" i="1"/>
  <c r="R67" i="1"/>
  <c r="Q67" i="1"/>
  <c r="P67" i="1"/>
  <c r="O67" i="1"/>
  <c r="S66" i="1"/>
  <c r="R66" i="1"/>
  <c r="Q66" i="1"/>
  <c r="P66" i="1"/>
  <c r="O66" i="1"/>
  <c r="S65" i="1"/>
  <c r="R65" i="1"/>
  <c r="Q65" i="1"/>
  <c r="P65" i="1"/>
  <c r="O65" i="1"/>
  <c r="S64" i="1"/>
  <c r="R64" i="1"/>
  <c r="Q64" i="1"/>
  <c r="P64" i="1"/>
  <c r="O64" i="1"/>
  <c r="S63" i="1"/>
  <c r="R63" i="1"/>
  <c r="Q63" i="1"/>
  <c r="P63" i="1"/>
  <c r="O63" i="1"/>
  <c r="S62" i="1"/>
  <c r="R62" i="1"/>
  <c r="Q62" i="1"/>
  <c r="P62" i="1"/>
  <c r="O62" i="1"/>
  <c r="S61" i="1"/>
  <c r="R61" i="1"/>
  <c r="Q61" i="1"/>
  <c r="P61" i="1"/>
  <c r="O61" i="1"/>
  <c r="S60" i="1"/>
  <c r="R60" i="1"/>
  <c r="Q60" i="1"/>
  <c r="P60" i="1"/>
  <c r="O60" i="1"/>
  <c r="S59" i="1"/>
  <c r="R59" i="1"/>
  <c r="Q59" i="1"/>
  <c r="P59" i="1"/>
  <c r="O59" i="1"/>
  <c r="S58" i="1"/>
  <c r="R58" i="1"/>
  <c r="Q58" i="1"/>
  <c r="P58" i="1"/>
  <c r="O58" i="1"/>
  <c r="S57" i="1"/>
  <c r="R57" i="1"/>
  <c r="Q57" i="1"/>
  <c r="P57" i="1"/>
  <c r="O57" i="1"/>
  <c r="S56" i="1"/>
  <c r="R56" i="1"/>
  <c r="Q56" i="1"/>
  <c r="P56" i="1"/>
  <c r="O56" i="1"/>
  <c r="S55" i="1"/>
  <c r="R55" i="1"/>
  <c r="Q55" i="1"/>
  <c r="P55" i="1"/>
  <c r="O55" i="1"/>
  <c r="S54" i="1"/>
  <c r="R54" i="1"/>
  <c r="Q54" i="1"/>
  <c r="P54" i="1"/>
  <c r="O54" i="1"/>
  <c r="S53" i="1"/>
  <c r="R53" i="1"/>
  <c r="Q53" i="1"/>
  <c r="P53" i="1"/>
  <c r="O53" i="1"/>
  <c r="S52" i="1"/>
  <c r="R52" i="1"/>
  <c r="Q52" i="1"/>
  <c r="P52" i="1"/>
  <c r="O52" i="1"/>
  <c r="S51" i="1"/>
  <c r="R51" i="1"/>
  <c r="Q51" i="1"/>
  <c r="P51" i="1"/>
  <c r="O51" i="1"/>
  <c r="S50" i="1"/>
  <c r="R50" i="1"/>
  <c r="Q50" i="1"/>
  <c r="P50" i="1"/>
  <c r="O50" i="1"/>
  <c r="S49" i="1"/>
  <c r="R49" i="1"/>
  <c r="Q49" i="1"/>
  <c r="P49" i="1"/>
  <c r="O49" i="1"/>
  <c r="S48" i="1"/>
  <c r="R48" i="1"/>
  <c r="Q48" i="1"/>
  <c r="P48" i="1"/>
  <c r="O48" i="1"/>
  <c r="S47" i="1"/>
  <c r="R47" i="1"/>
  <c r="Q47" i="1"/>
  <c r="P47" i="1"/>
  <c r="O47" i="1"/>
  <c r="S46" i="1"/>
  <c r="R46" i="1"/>
  <c r="Q46" i="1"/>
  <c r="P46" i="1"/>
  <c r="O46" i="1"/>
  <c r="S45" i="1"/>
  <c r="R45" i="1"/>
  <c r="Q45" i="1"/>
  <c r="P45" i="1"/>
  <c r="O45" i="1"/>
  <c r="S44" i="1"/>
  <c r="R44" i="1"/>
  <c r="Q44" i="1"/>
  <c r="P44" i="1"/>
  <c r="O44" i="1"/>
  <c r="S43" i="1"/>
  <c r="R43" i="1"/>
  <c r="Q43" i="1"/>
  <c r="P43" i="1"/>
  <c r="O43" i="1"/>
  <c r="S42" i="1"/>
  <c r="R42" i="1"/>
  <c r="Q42" i="1"/>
  <c r="P42" i="1"/>
  <c r="O42" i="1"/>
  <c r="S41" i="1"/>
  <c r="R41" i="1"/>
  <c r="Q41" i="1"/>
  <c r="P41" i="1"/>
  <c r="O41" i="1"/>
  <c r="S40" i="1"/>
  <c r="R40" i="1"/>
  <c r="Q40" i="1"/>
  <c r="P40" i="1"/>
  <c r="O40" i="1"/>
  <c r="S39" i="1"/>
  <c r="R39" i="1"/>
  <c r="Q39" i="1"/>
  <c r="P39" i="1"/>
  <c r="O39" i="1"/>
  <c r="S38" i="1"/>
  <c r="R38" i="1"/>
  <c r="Q38" i="1"/>
  <c r="P38" i="1"/>
  <c r="O38" i="1"/>
  <c r="S37" i="1"/>
  <c r="R37" i="1"/>
  <c r="Q37" i="1"/>
  <c r="P37" i="1"/>
  <c r="O37" i="1"/>
  <c r="S36" i="1"/>
  <c r="R36" i="1"/>
  <c r="Q36" i="1"/>
  <c r="P36" i="1"/>
  <c r="O36" i="1"/>
  <c r="S35" i="1"/>
  <c r="R35" i="1"/>
  <c r="Q35" i="1"/>
  <c r="P35" i="1"/>
  <c r="O35" i="1"/>
  <c r="S34" i="1"/>
  <c r="R34" i="1"/>
  <c r="Q34" i="1"/>
  <c r="P34" i="1"/>
  <c r="O34" i="1"/>
  <c r="S33" i="1"/>
  <c r="R33" i="1"/>
  <c r="Q33" i="1"/>
  <c r="P33" i="1"/>
  <c r="O33" i="1"/>
  <c r="S32" i="1"/>
  <c r="R32" i="1"/>
  <c r="Q32" i="1"/>
  <c r="P32" i="1"/>
  <c r="O32" i="1"/>
  <c r="S31" i="1"/>
  <c r="R31" i="1"/>
  <c r="Q31" i="1"/>
  <c r="P31" i="1"/>
  <c r="O31" i="1"/>
  <c r="S30" i="1"/>
  <c r="R30" i="1"/>
  <c r="Q30" i="1"/>
  <c r="P30" i="1"/>
  <c r="O30" i="1"/>
  <c r="S29" i="1"/>
  <c r="R29" i="1"/>
  <c r="Q29" i="1"/>
  <c r="P29" i="1"/>
  <c r="O29" i="1"/>
  <c r="S28" i="1"/>
  <c r="R28" i="1"/>
  <c r="Q28" i="1"/>
  <c r="P28" i="1"/>
  <c r="O28" i="1"/>
  <c r="S27" i="1"/>
  <c r="R27" i="1"/>
  <c r="Q27" i="1"/>
  <c r="P27" i="1"/>
  <c r="O27" i="1"/>
  <c r="S26" i="1"/>
  <c r="R26" i="1"/>
  <c r="Q26" i="1"/>
  <c r="P26" i="1"/>
  <c r="O26" i="1"/>
  <c r="S25" i="1"/>
  <c r="R25" i="1"/>
  <c r="Q25" i="1"/>
  <c r="P25" i="1"/>
  <c r="O25" i="1"/>
  <c r="S24" i="1"/>
  <c r="R24" i="1"/>
  <c r="Q24" i="1"/>
  <c r="P24" i="1"/>
  <c r="O24" i="1"/>
  <c r="S23" i="1"/>
  <c r="R23" i="1"/>
  <c r="Q23" i="1"/>
  <c r="P23" i="1"/>
  <c r="O23" i="1"/>
  <c r="S22" i="1"/>
  <c r="R22" i="1"/>
  <c r="Q22" i="1"/>
  <c r="P22" i="1"/>
  <c r="O22" i="1"/>
  <c r="S21" i="1"/>
  <c r="R21" i="1"/>
  <c r="Q21" i="1"/>
  <c r="P21" i="1"/>
  <c r="O21" i="1"/>
  <c r="S20" i="1"/>
  <c r="R20" i="1"/>
  <c r="Q20" i="1"/>
  <c r="P20" i="1"/>
  <c r="O20" i="1"/>
  <c r="S19" i="1"/>
  <c r="R19" i="1"/>
  <c r="Q19" i="1"/>
  <c r="P19" i="1"/>
  <c r="O19" i="1"/>
  <c r="S18" i="1"/>
  <c r="R18" i="1"/>
  <c r="Q18" i="1"/>
  <c r="P18" i="1"/>
  <c r="O18" i="1"/>
  <c r="S17" i="1"/>
  <c r="R17" i="1"/>
  <c r="Q17" i="1"/>
  <c r="P17" i="1"/>
  <c r="O17" i="1"/>
  <c r="S16" i="1"/>
  <c r="R16" i="1"/>
  <c r="Q16" i="1"/>
  <c r="P16" i="1"/>
  <c r="O16" i="1"/>
  <c r="S15" i="1"/>
  <c r="R15" i="1"/>
  <c r="Q15" i="1"/>
  <c r="P15" i="1"/>
  <c r="O15" i="1"/>
  <c r="S14" i="1"/>
  <c r="R14" i="1"/>
  <c r="Q14" i="1"/>
  <c r="P14" i="1"/>
  <c r="O14" i="1"/>
  <c r="S13" i="1"/>
  <c r="R13" i="1"/>
  <c r="Q13" i="1"/>
  <c r="P13" i="1"/>
  <c r="O13" i="1"/>
  <c r="S12" i="1"/>
  <c r="R12" i="1"/>
  <c r="Q12" i="1"/>
  <c r="P12" i="1"/>
  <c r="O12" i="1"/>
  <c r="S11" i="1"/>
  <c r="R11" i="1"/>
  <c r="Q11" i="1"/>
  <c r="P11" i="1"/>
  <c r="O11" i="1"/>
  <c r="S10" i="1"/>
  <c r="R10" i="1"/>
  <c r="Q10" i="1"/>
  <c r="P10" i="1"/>
  <c r="O10" i="1"/>
  <c r="S9" i="1"/>
  <c r="R9" i="1"/>
  <c r="Q9" i="1"/>
  <c r="P9" i="1"/>
  <c r="O9" i="1"/>
  <c r="S8" i="1"/>
  <c r="R8" i="1"/>
  <c r="Q8" i="1"/>
  <c r="P8" i="1"/>
  <c r="O8" i="1"/>
  <c r="S7" i="1"/>
  <c r="R7" i="1"/>
  <c r="Q7" i="1"/>
  <c r="P7" i="1"/>
  <c r="O7" i="1"/>
  <c r="S6" i="1"/>
  <c r="R6" i="1"/>
  <c r="Q6" i="1"/>
  <c r="P6" i="1"/>
  <c r="O6" i="1"/>
  <c r="S5" i="1"/>
  <c r="R5" i="1"/>
  <c r="Q5" i="1"/>
  <c r="P5" i="1"/>
  <c r="O5" i="1"/>
  <c r="S4" i="1"/>
  <c r="R4" i="1"/>
  <c r="Q4" i="1"/>
  <c r="P4" i="1"/>
  <c r="O4" i="1"/>
  <c r="S3" i="1"/>
  <c r="R3" i="1"/>
  <c r="Q3" i="1"/>
  <c r="P3" i="1"/>
  <c r="O3" i="1"/>
  <c r="S2" i="1"/>
  <c r="R2" i="1"/>
  <c r="Q2" i="1"/>
  <c r="P2" i="1"/>
  <c r="O2" i="1"/>
  <c r="B19" i="7"/>
  <c r="B12" i="4"/>
</calcChain>
</file>

<file path=xl/sharedStrings.xml><?xml version="1.0" encoding="utf-8"?>
<sst xmlns="http://schemas.openxmlformats.org/spreadsheetml/2006/main" count="2861" uniqueCount="630">
  <si>
    <t>Patient_ID</t>
  </si>
  <si>
    <t>Patient_Name</t>
  </si>
  <si>
    <t>Gender</t>
  </si>
  <si>
    <t>Age</t>
  </si>
  <si>
    <t>City</t>
  </si>
  <si>
    <t>Department</t>
  </si>
  <si>
    <t>Doctor_Name</t>
  </si>
  <si>
    <t>Admission_Date</t>
  </si>
  <si>
    <t>Discharge_Date</t>
  </si>
  <si>
    <t>Disease</t>
  </si>
  <si>
    <t>Treatment_Cost</t>
  </si>
  <si>
    <t>Payment_Mode</t>
  </si>
  <si>
    <t>Length_of_Stay</t>
  </si>
  <si>
    <t>Status</t>
  </si>
  <si>
    <t>Age group</t>
  </si>
  <si>
    <t>D_Year</t>
  </si>
  <si>
    <t>D_Month_name</t>
  </si>
  <si>
    <t>A_Year</t>
  </si>
  <si>
    <t>A_Month_name</t>
  </si>
  <si>
    <t>P001</t>
  </si>
  <si>
    <t>Vihaan</t>
  </si>
  <si>
    <t>Male</t>
  </si>
  <si>
    <t>Surat</t>
  </si>
  <si>
    <t>Pediatrics</t>
  </si>
  <si>
    <t>Dr. Gupta</t>
  </si>
  <si>
    <t>2024-09-06</t>
  </si>
  <si>
    <t>2024-09-15</t>
  </si>
  <si>
    <t>Fracture</t>
  </si>
  <si>
    <t>Cash</t>
  </si>
  <si>
    <t>Discharged</t>
  </si>
  <si>
    <t>P002</t>
  </si>
  <si>
    <t>Anaya</t>
  </si>
  <si>
    <t>Female</t>
  </si>
  <si>
    <t>Bangalore</t>
  </si>
  <si>
    <t>2024-02-02</t>
  </si>
  <si>
    <t>2024-02-11</t>
  </si>
  <si>
    <t>Skin Allergy</t>
  </si>
  <si>
    <t>P003</t>
  </si>
  <si>
    <t>Riya</t>
  </si>
  <si>
    <t>Delhi</t>
  </si>
  <si>
    <t>Dermatology</t>
  </si>
  <si>
    <t>Dr. Patel</t>
  </si>
  <si>
    <t>2024-10-12</t>
  </si>
  <si>
    <t>2024-10-17</t>
  </si>
  <si>
    <t>Cancer</t>
  </si>
  <si>
    <t>Card</t>
  </si>
  <si>
    <t>Recovered</t>
  </si>
  <si>
    <t>P004</t>
  </si>
  <si>
    <t>Arjun</t>
  </si>
  <si>
    <t>Mumbai</t>
  </si>
  <si>
    <t>2024-11-12</t>
  </si>
  <si>
    <t>2024-11-22</t>
  </si>
  <si>
    <t>Migraine</t>
  </si>
  <si>
    <t>P005</t>
  </si>
  <si>
    <t>Pune</t>
  </si>
  <si>
    <t>General</t>
  </si>
  <si>
    <t>2024-06-22</t>
  </si>
  <si>
    <t>2024-06-27</t>
  </si>
  <si>
    <t>UPI</t>
  </si>
  <si>
    <t>P006</t>
  </si>
  <si>
    <t>Ahmedabad</t>
  </si>
  <si>
    <t>Cardiology</t>
  </si>
  <si>
    <t>Dr. Shah</t>
  </si>
  <si>
    <t>2024-04-30</t>
  </si>
  <si>
    <t>2024-05-10</t>
  </si>
  <si>
    <t>Fever</t>
  </si>
  <si>
    <t>P007</t>
  </si>
  <si>
    <t>Aditya</t>
  </si>
  <si>
    <t>Orthopedics</t>
  </si>
  <si>
    <t>2024-04-26</t>
  </si>
  <si>
    <t>2024-05-01</t>
  </si>
  <si>
    <t>Heart Disease</t>
  </si>
  <si>
    <t>P008</t>
  </si>
  <si>
    <t>Diya</t>
  </si>
  <si>
    <t>Jaipur</t>
  </si>
  <si>
    <t>2024-08-26</t>
  </si>
  <si>
    <t>2024-08-30</t>
  </si>
  <si>
    <t>Under Treatment</t>
  </si>
  <si>
    <t>P009</t>
  </si>
  <si>
    <t>Navya</t>
  </si>
  <si>
    <t>Neurology</t>
  </si>
  <si>
    <t>Dr. Sharma</t>
  </si>
  <si>
    <t>2024-03-28</t>
  </si>
  <si>
    <t>2024-04-07</t>
  </si>
  <si>
    <t>P010</t>
  </si>
  <si>
    <t>2024-01-19</t>
  </si>
  <si>
    <t>2024-01-25</t>
  </si>
  <si>
    <t>P011</t>
  </si>
  <si>
    <t>Dr. Singh</t>
  </si>
  <si>
    <t>2024-09-16</t>
  </si>
  <si>
    <t>2024-09-26</t>
  </si>
  <si>
    <t>P012</t>
  </si>
  <si>
    <t>2024-05-04</t>
  </si>
  <si>
    <t>2024-05-07</t>
  </si>
  <si>
    <t>P013</t>
  </si>
  <si>
    <t>2024-07-25</t>
  </si>
  <si>
    <t>2024-07-31</t>
  </si>
  <si>
    <t>P014</t>
  </si>
  <si>
    <t>2024-04-25</t>
  </si>
  <si>
    <t>2024-05-05</t>
  </si>
  <si>
    <t>P015</t>
  </si>
  <si>
    <t>Reyansh</t>
  </si>
  <si>
    <t>2024-04-21</t>
  </si>
  <si>
    <t>Diabetes</t>
  </si>
  <si>
    <t>P016</t>
  </si>
  <si>
    <t>Aarav</t>
  </si>
  <si>
    <t>2024-01-17</t>
  </si>
  <si>
    <t>2024-01-18</t>
  </si>
  <si>
    <t>P017</t>
  </si>
  <si>
    <t>Ira</t>
  </si>
  <si>
    <t>Oncology</t>
  </si>
  <si>
    <t>Dr. Mehta</t>
  </si>
  <si>
    <t>2024-06-18</t>
  </si>
  <si>
    <t>2024-06-28</t>
  </si>
  <si>
    <t>P018</t>
  </si>
  <si>
    <t>2024-06-03</t>
  </si>
  <si>
    <t>2024-06-04</t>
  </si>
  <si>
    <t>P019</t>
  </si>
  <si>
    <t>Krishna</t>
  </si>
  <si>
    <t>2024-10-02</t>
  </si>
  <si>
    <t>2024-10-06</t>
  </si>
  <si>
    <t>P020</t>
  </si>
  <si>
    <t>Aadhya</t>
  </si>
  <si>
    <t>2024-03-24</t>
  </si>
  <si>
    <t>2024-04-01</t>
  </si>
  <si>
    <t>P021</t>
  </si>
  <si>
    <t>2024-10-25</t>
  </si>
  <si>
    <t>2024-10-27</t>
  </si>
  <si>
    <t>P022</t>
  </si>
  <si>
    <t>Shaurya</t>
  </si>
  <si>
    <t>2024-11-08</t>
  </si>
  <si>
    <t>2024-11-10</t>
  </si>
  <si>
    <t>P023</t>
  </si>
  <si>
    <t>2024-12-23</t>
  </si>
  <si>
    <t>2024-12-24</t>
  </si>
  <si>
    <t>P024</t>
  </si>
  <si>
    <t>2024-10-01</t>
  </si>
  <si>
    <t>P025</t>
  </si>
  <si>
    <t>2024-10-15</t>
  </si>
  <si>
    <t>P026</t>
  </si>
  <si>
    <t>Sara</t>
  </si>
  <si>
    <t>2024-05-28</t>
  </si>
  <si>
    <t>2024-06-07</t>
  </si>
  <si>
    <t>P027</t>
  </si>
  <si>
    <t>Ishaan</t>
  </si>
  <si>
    <t>2024-10-21</t>
  </si>
  <si>
    <t>2024-10-22</t>
  </si>
  <si>
    <t>P028</t>
  </si>
  <si>
    <t>2024-02-26</t>
  </si>
  <si>
    <t>2024-02-28</t>
  </si>
  <si>
    <t>P029</t>
  </si>
  <si>
    <t>2024-08-02</t>
  </si>
  <si>
    <t>P030</t>
  </si>
  <si>
    <t>Anika</t>
  </si>
  <si>
    <t>2024-08-18</t>
  </si>
  <si>
    <t>2024-08-25</t>
  </si>
  <si>
    <t>P031</t>
  </si>
  <si>
    <t>2024-12-02</t>
  </si>
  <si>
    <t>P032</t>
  </si>
  <si>
    <t>2024-12-28</t>
  </si>
  <si>
    <t>2025-01-02</t>
  </si>
  <si>
    <t>P033</t>
  </si>
  <si>
    <t>2024-02-19</t>
  </si>
  <si>
    <t>P034</t>
  </si>
  <si>
    <t>2024-01-13</t>
  </si>
  <si>
    <t>P035</t>
  </si>
  <si>
    <t>Meera</t>
  </si>
  <si>
    <t>2024-09-18</t>
  </si>
  <si>
    <t>2024-09-20</t>
  </si>
  <si>
    <t>P036</t>
  </si>
  <si>
    <t>2024-09-12</t>
  </si>
  <si>
    <t>2024-09-17</t>
  </si>
  <si>
    <t>P037</t>
  </si>
  <si>
    <t>Vivaan</t>
  </si>
  <si>
    <t>2024-02-23</t>
  </si>
  <si>
    <t>P038</t>
  </si>
  <si>
    <t>2024-02-12</t>
  </si>
  <si>
    <t>2024-02-18</t>
  </si>
  <si>
    <t>P039</t>
  </si>
  <si>
    <t>Sai</t>
  </si>
  <si>
    <t>2024-01-16</t>
  </si>
  <si>
    <t>2024-01-23</t>
  </si>
  <si>
    <t>P040</t>
  </si>
  <si>
    <t>2024-02-10</t>
  </si>
  <si>
    <t>P041</t>
  </si>
  <si>
    <t>2024-03-12</t>
  </si>
  <si>
    <t>2024-03-17</t>
  </si>
  <si>
    <t>P042</t>
  </si>
  <si>
    <t>2024-01-07</t>
  </si>
  <si>
    <t>P043</t>
  </si>
  <si>
    <t>2024-08-03</t>
  </si>
  <si>
    <t>2024-08-09</t>
  </si>
  <si>
    <t>P044</t>
  </si>
  <si>
    <t>2024-02-15</t>
  </si>
  <si>
    <t>P045</t>
  </si>
  <si>
    <t>2024-08-11</t>
  </si>
  <si>
    <t>P046</t>
  </si>
  <si>
    <t>2024-12-18</t>
  </si>
  <si>
    <t>2024-12-22</t>
  </si>
  <si>
    <t>P047</t>
  </si>
  <si>
    <t>2024-12-15</t>
  </si>
  <si>
    <t>P048</t>
  </si>
  <si>
    <t>2024-08-10</t>
  </si>
  <si>
    <t>2024-08-15</t>
  </si>
  <si>
    <t>P049</t>
  </si>
  <si>
    <t>P050</t>
  </si>
  <si>
    <t>2024-02-25</t>
  </si>
  <si>
    <t>P051</t>
  </si>
  <si>
    <t>2024-10-08</t>
  </si>
  <si>
    <t>2024-10-13</t>
  </si>
  <si>
    <t>P052</t>
  </si>
  <si>
    <t>2024-11-28</t>
  </si>
  <si>
    <t>2024-12-06</t>
  </si>
  <si>
    <t>P053</t>
  </si>
  <si>
    <t>2024-06-14</t>
  </si>
  <si>
    <t>2024-06-17</t>
  </si>
  <si>
    <t>P054</t>
  </si>
  <si>
    <t>2024-02-20</t>
  </si>
  <si>
    <t>P055</t>
  </si>
  <si>
    <t>2024-12-08</t>
  </si>
  <si>
    <t>2024-12-14</t>
  </si>
  <si>
    <t>P056</t>
  </si>
  <si>
    <t>2024-04-04</t>
  </si>
  <si>
    <t>P057</t>
  </si>
  <si>
    <t>2024-10-09</t>
  </si>
  <si>
    <t>P058</t>
  </si>
  <si>
    <t>2024-09-29</t>
  </si>
  <si>
    <t>P059</t>
  </si>
  <si>
    <t>2024-06-20</t>
  </si>
  <si>
    <t>2024-06-24</t>
  </si>
  <si>
    <t>P060</t>
  </si>
  <si>
    <t>2024-02-03</t>
  </si>
  <si>
    <t>P061</t>
  </si>
  <si>
    <t>2024-05-15</t>
  </si>
  <si>
    <t>2024-05-17</t>
  </si>
  <si>
    <t>P062</t>
  </si>
  <si>
    <t>2024-03-01</t>
  </si>
  <si>
    <t>2024-03-02</t>
  </si>
  <si>
    <t>P063</t>
  </si>
  <si>
    <t>2024-12-05</t>
  </si>
  <si>
    <t>P064</t>
  </si>
  <si>
    <t>2024-01-22</t>
  </si>
  <si>
    <t>2024-01-24</t>
  </si>
  <si>
    <t>P065</t>
  </si>
  <si>
    <t>2024-09-27</t>
  </si>
  <si>
    <t>P066</t>
  </si>
  <si>
    <t>P067</t>
  </si>
  <si>
    <t>2024-12-12</t>
  </si>
  <si>
    <t>2024-12-16</t>
  </si>
  <si>
    <t>P068</t>
  </si>
  <si>
    <t>2024-10-14</t>
  </si>
  <si>
    <t>P069</t>
  </si>
  <si>
    <t>2024-09-23</t>
  </si>
  <si>
    <t>2024-09-25</t>
  </si>
  <si>
    <t>P070</t>
  </si>
  <si>
    <t>Myra</t>
  </si>
  <si>
    <t>P071</t>
  </si>
  <si>
    <t>2024-11-30</t>
  </si>
  <si>
    <t>P072</t>
  </si>
  <si>
    <t>2024-05-20</t>
  </si>
  <si>
    <t>2024-05-30</t>
  </si>
  <si>
    <t>P073</t>
  </si>
  <si>
    <t>2024-05-14</t>
  </si>
  <si>
    <t>2024-05-19</t>
  </si>
  <si>
    <t>P074</t>
  </si>
  <si>
    <t>2024-09-28</t>
  </si>
  <si>
    <t>P075</t>
  </si>
  <si>
    <t>2024-01-29</t>
  </si>
  <si>
    <t>P076</t>
  </si>
  <si>
    <t>2024-07-11</t>
  </si>
  <si>
    <t>2024-07-19</t>
  </si>
  <si>
    <t>P077</t>
  </si>
  <si>
    <t>2024-12-29</t>
  </si>
  <si>
    <t>2025-01-05</t>
  </si>
  <si>
    <t>P078</t>
  </si>
  <si>
    <t>2024-08-01</t>
  </si>
  <si>
    <t>P079</t>
  </si>
  <si>
    <t>2024-05-25</t>
  </si>
  <si>
    <t>P080</t>
  </si>
  <si>
    <t>2024-04-09</t>
  </si>
  <si>
    <t>2024-04-10</t>
  </si>
  <si>
    <t>P081</t>
  </si>
  <si>
    <t>2024-12-20</t>
  </si>
  <si>
    <t>2024-12-25</t>
  </si>
  <si>
    <t>P082</t>
  </si>
  <si>
    <t>2024-09-30</t>
  </si>
  <si>
    <t>P083</t>
  </si>
  <si>
    <t>2024-03-22</t>
  </si>
  <si>
    <t>2024-03-31</t>
  </si>
  <si>
    <t>P084</t>
  </si>
  <si>
    <t>2024-05-11</t>
  </si>
  <si>
    <t>P085</t>
  </si>
  <si>
    <t>2024-03-27</t>
  </si>
  <si>
    <t>P086</t>
  </si>
  <si>
    <t>2024-05-29</t>
  </si>
  <si>
    <t>2024-05-31</t>
  </si>
  <si>
    <t>P087</t>
  </si>
  <si>
    <t>2024-05-16</t>
  </si>
  <si>
    <t>P088</t>
  </si>
  <si>
    <t>2024-02-04</t>
  </si>
  <si>
    <t>P089</t>
  </si>
  <si>
    <t>2024-03-21</t>
  </si>
  <si>
    <t>2024-03-26</t>
  </si>
  <si>
    <t>P090</t>
  </si>
  <si>
    <t>2024-07-22</t>
  </si>
  <si>
    <t>2024-07-26</t>
  </si>
  <si>
    <t>P091</t>
  </si>
  <si>
    <t>2024-03-23</t>
  </si>
  <si>
    <t>2024-03-30</t>
  </si>
  <si>
    <t>P092</t>
  </si>
  <si>
    <t>2024-02-01</t>
  </si>
  <si>
    <t>P093</t>
  </si>
  <si>
    <t>P094</t>
  </si>
  <si>
    <t>2024-08-13</t>
  </si>
  <si>
    <t>2024-08-22</t>
  </si>
  <si>
    <t>P095</t>
  </si>
  <si>
    <t>2024-11-01</t>
  </si>
  <si>
    <t>2024-11-09</t>
  </si>
  <si>
    <t>P096</t>
  </si>
  <si>
    <t>P097</t>
  </si>
  <si>
    <t>P098</t>
  </si>
  <si>
    <t>P099</t>
  </si>
  <si>
    <t>2024-09-08</t>
  </si>
  <si>
    <t>P100</t>
  </si>
  <si>
    <t>2024-03-08</t>
  </si>
  <si>
    <t>P101</t>
  </si>
  <si>
    <t>P102</t>
  </si>
  <si>
    <t>P103</t>
  </si>
  <si>
    <t>P104</t>
  </si>
  <si>
    <t>2024-04-24</t>
  </si>
  <si>
    <t>2024-04-27</t>
  </si>
  <si>
    <t>P105</t>
  </si>
  <si>
    <t>2024-11-21</t>
  </si>
  <si>
    <t>2024-11-24</t>
  </si>
  <si>
    <t>P106</t>
  </si>
  <si>
    <t>2024-04-17</t>
  </si>
  <si>
    <t>P107</t>
  </si>
  <si>
    <t>2024-12-13</t>
  </si>
  <si>
    <t>P108</t>
  </si>
  <si>
    <t>2024-03-29</t>
  </si>
  <si>
    <t>P109</t>
  </si>
  <si>
    <t>2024-12-11</t>
  </si>
  <si>
    <t>P110</t>
  </si>
  <si>
    <t>2024-03-09</t>
  </si>
  <si>
    <t>P111</t>
  </si>
  <si>
    <t>2024-03-16</t>
  </si>
  <si>
    <t>2024-03-19</t>
  </si>
  <si>
    <t>P112</t>
  </si>
  <si>
    <t>P113</t>
  </si>
  <si>
    <t>2024-01-14</t>
  </si>
  <si>
    <t>P114</t>
  </si>
  <si>
    <t>2024-10-30</t>
  </si>
  <si>
    <t>P115</t>
  </si>
  <si>
    <t>2024-10-24</t>
  </si>
  <si>
    <t>2024-11-02</t>
  </si>
  <si>
    <t>P116</t>
  </si>
  <si>
    <t>2024-06-11</t>
  </si>
  <si>
    <t>2024-06-12</t>
  </si>
  <si>
    <t>P117</t>
  </si>
  <si>
    <t>2024-12-09</t>
  </si>
  <si>
    <t>P118</t>
  </si>
  <si>
    <t>2024-09-07</t>
  </si>
  <si>
    <t>2024-09-11</t>
  </si>
  <si>
    <t>P119</t>
  </si>
  <si>
    <t>2024-07-12</t>
  </si>
  <si>
    <t>2024-07-17</t>
  </si>
  <si>
    <t>P120</t>
  </si>
  <si>
    <t>2024-12-30</t>
  </si>
  <si>
    <t>P121</t>
  </si>
  <si>
    <t>2024-06-29</t>
  </si>
  <si>
    <t>2024-07-04</t>
  </si>
  <si>
    <t>P122</t>
  </si>
  <si>
    <t>P123</t>
  </si>
  <si>
    <t>2024-01-06</t>
  </si>
  <si>
    <t>2024-01-08</t>
  </si>
  <si>
    <t>P124</t>
  </si>
  <si>
    <t>2024-06-05</t>
  </si>
  <si>
    <t>P125</t>
  </si>
  <si>
    <t>2024-04-29</t>
  </si>
  <si>
    <t>P126</t>
  </si>
  <si>
    <t>2024-04-02</t>
  </si>
  <si>
    <t>P127</t>
  </si>
  <si>
    <t>2024-11-13</t>
  </si>
  <si>
    <t>2024-11-19</t>
  </si>
  <si>
    <t>P128</t>
  </si>
  <si>
    <t>2024-05-13</t>
  </si>
  <si>
    <t>2024-05-22</t>
  </si>
  <si>
    <t>P129</t>
  </si>
  <si>
    <t>2024-11-27</t>
  </si>
  <si>
    <t>2024-12-04</t>
  </si>
  <si>
    <t>P130</t>
  </si>
  <si>
    <t>P131</t>
  </si>
  <si>
    <t>2024-01-31</t>
  </si>
  <si>
    <t>2024-02-08</t>
  </si>
  <si>
    <t>P132</t>
  </si>
  <si>
    <t>P133</t>
  </si>
  <si>
    <t>P134</t>
  </si>
  <si>
    <t>P135</t>
  </si>
  <si>
    <t>2024-12-17</t>
  </si>
  <si>
    <t>P136</t>
  </si>
  <si>
    <t>2024-04-05</t>
  </si>
  <si>
    <t>P137</t>
  </si>
  <si>
    <t>P138</t>
  </si>
  <si>
    <t>P139</t>
  </si>
  <si>
    <t>2024-02-27</t>
  </si>
  <si>
    <t>P140</t>
  </si>
  <si>
    <t>2024-03-13</t>
  </si>
  <si>
    <t>P141</t>
  </si>
  <si>
    <t>P142</t>
  </si>
  <si>
    <t>P143</t>
  </si>
  <si>
    <t>P144</t>
  </si>
  <si>
    <t>2024-08-23</t>
  </si>
  <si>
    <t>P145</t>
  </si>
  <si>
    <t>P146</t>
  </si>
  <si>
    <t>2024-06-23</t>
  </si>
  <si>
    <t>P147</t>
  </si>
  <si>
    <t>P148</t>
  </si>
  <si>
    <t>2024-12-10</t>
  </si>
  <si>
    <t>P149</t>
  </si>
  <si>
    <t>2024-03-15</t>
  </si>
  <si>
    <t>P150</t>
  </si>
  <si>
    <t>P151</t>
  </si>
  <si>
    <t>2024-12-01</t>
  </si>
  <si>
    <t>2024-12-07</t>
  </si>
  <si>
    <t>P152</t>
  </si>
  <si>
    <t>P153</t>
  </si>
  <si>
    <t>P154</t>
  </si>
  <si>
    <t>2024-03-10</t>
  </si>
  <si>
    <t>P155</t>
  </si>
  <si>
    <t>2024-07-07</t>
  </si>
  <si>
    <t>2024-07-16</t>
  </si>
  <si>
    <t>P156</t>
  </si>
  <si>
    <t>P157</t>
  </si>
  <si>
    <t>2024-01-28</t>
  </si>
  <si>
    <t>P158</t>
  </si>
  <si>
    <t>2024-02-17</t>
  </si>
  <si>
    <t>2024-02-22</t>
  </si>
  <si>
    <t>P159</t>
  </si>
  <si>
    <t>2024-11-17</t>
  </si>
  <si>
    <t>P160</t>
  </si>
  <si>
    <t>P161</t>
  </si>
  <si>
    <t>2024-07-28</t>
  </si>
  <si>
    <t>P162</t>
  </si>
  <si>
    <t>2024-07-21</t>
  </si>
  <si>
    <t>2024-07-27</t>
  </si>
  <si>
    <t>P163</t>
  </si>
  <si>
    <t>P164</t>
  </si>
  <si>
    <t>P165</t>
  </si>
  <si>
    <t>2024-05-02</t>
  </si>
  <si>
    <t>2024-05-03</t>
  </si>
  <si>
    <t>P166</t>
  </si>
  <si>
    <t>2024-03-20</t>
  </si>
  <si>
    <t>P167</t>
  </si>
  <si>
    <t>P168</t>
  </si>
  <si>
    <t>2024-06-25</t>
  </si>
  <si>
    <t>2024-07-02</t>
  </si>
  <si>
    <t>P169</t>
  </si>
  <si>
    <t>P170</t>
  </si>
  <si>
    <t>P171</t>
  </si>
  <si>
    <t>2024-06-16</t>
  </si>
  <si>
    <t>2024-06-21</t>
  </si>
  <si>
    <t>P172</t>
  </si>
  <si>
    <t>P173</t>
  </si>
  <si>
    <t>2025-01-07</t>
  </si>
  <si>
    <t>P174</t>
  </si>
  <si>
    <t>P175</t>
  </si>
  <si>
    <t>P176</t>
  </si>
  <si>
    <t>2024-08-12</t>
  </si>
  <si>
    <t>P177</t>
  </si>
  <si>
    <t>2024-10-29</t>
  </si>
  <si>
    <t>2024-11-06</t>
  </si>
  <si>
    <t>P178</t>
  </si>
  <si>
    <t>P179</t>
  </si>
  <si>
    <t>2024-07-30</t>
  </si>
  <si>
    <t>P180</t>
  </si>
  <si>
    <t>2024-10-03</t>
  </si>
  <si>
    <t>P181</t>
  </si>
  <si>
    <t>2024-08-31</t>
  </si>
  <si>
    <t>P182</t>
  </si>
  <si>
    <t>2024-06-13</t>
  </si>
  <si>
    <t>P183</t>
  </si>
  <si>
    <t>2024-05-27</t>
  </si>
  <si>
    <t>P184</t>
  </si>
  <si>
    <t>2024-05-08</t>
  </si>
  <si>
    <t>P185</t>
  </si>
  <si>
    <t>2024-11-16</t>
  </si>
  <si>
    <t>2024-11-23</t>
  </si>
  <si>
    <t>P186</t>
  </si>
  <si>
    <t>P187</t>
  </si>
  <si>
    <t>2024-12-27</t>
  </si>
  <si>
    <t>P188</t>
  </si>
  <si>
    <t>2024-10-05</t>
  </si>
  <si>
    <t>P189</t>
  </si>
  <si>
    <t>P190</t>
  </si>
  <si>
    <t>2024-09-22</t>
  </si>
  <si>
    <t>2024-09-24</t>
  </si>
  <si>
    <t>P191</t>
  </si>
  <si>
    <t>2024-05-06</t>
  </si>
  <si>
    <t>P192</t>
  </si>
  <si>
    <t>2024-10-10</t>
  </si>
  <si>
    <t>2024-10-18</t>
  </si>
  <si>
    <t>P193</t>
  </si>
  <si>
    <t>P194</t>
  </si>
  <si>
    <t>P195</t>
  </si>
  <si>
    <t>2024-10-26</t>
  </si>
  <si>
    <t>2024-10-28</t>
  </si>
  <si>
    <t>P196</t>
  </si>
  <si>
    <t>P197</t>
  </si>
  <si>
    <t>2024-07-24</t>
  </si>
  <si>
    <t>P198</t>
  </si>
  <si>
    <t>P199</t>
  </si>
  <si>
    <t>2024-01-15</t>
  </si>
  <si>
    <t>P200</t>
  </si>
  <si>
    <t>P201</t>
  </si>
  <si>
    <t>2024-06-10</t>
  </si>
  <si>
    <t>P202</t>
  </si>
  <si>
    <t>P203</t>
  </si>
  <si>
    <t>2025-01-01</t>
  </si>
  <si>
    <t>P204</t>
  </si>
  <si>
    <t>2024-06-06</t>
  </si>
  <si>
    <t>P205</t>
  </si>
  <si>
    <t>2024-02-09</t>
  </si>
  <si>
    <t>P206</t>
  </si>
  <si>
    <t>2024-07-14</t>
  </si>
  <si>
    <t>P207</t>
  </si>
  <si>
    <t>2024-08-19</t>
  </si>
  <si>
    <t>P208</t>
  </si>
  <si>
    <t>P209</t>
  </si>
  <si>
    <t>P210</t>
  </si>
  <si>
    <t>2024-10-19</t>
  </si>
  <si>
    <t>P211</t>
  </si>
  <si>
    <t>2024-05-09</t>
  </si>
  <si>
    <t>P212</t>
  </si>
  <si>
    <t>P213</t>
  </si>
  <si>
    <t>2024-06-26</t>
  </si>
  <si>
    <t>P214</t>
  </si>
  <si>
    <t>2024-11-04</t>
  </si>
  <si>
    <t>P215</t>
  </si>
  <si>
    <t>2024-02-24</t>
  </si>
  <si>
    <t>P216</t>
  </si>
  <si>
    <t>P217</t>
  </si>
  <si>
    <t>P218</t>
  </si>
  <si>
    <t>P219</t>
  </si>
  <si>
    <t>P220</t>
  </si>
  <si>
    <t>P221</t>
  </si>
  <si>
    <t>2024-09-21</t>
  </si>
  <si>
    <t>P222</t>
  </si>
  <si>
    <t>2024-04-03</t>
  </si>
  <si>
    <t>P223</t>
  </si>
  <si>
    <t>2024-07-03</t>
  </si>
  <si>
    <t>P224</t>
  </si>
  <si>
    <t>2024-08-16</t>
  </si>
  <si>
    <t>P225</t>
  </si>
  <si>
    <t>2024-11-18</t>
  </si>
  <si>
    <t>P226</t>
  </si>
  <si>
    <t>2024-04-23</t>
  </si>
  <si>
    <t>P227</t>
  </si>
  <si>
    <t>P228</t>
  </si>
  <si>
    <t>2024-02-29</t>
  </si>
  <si>
    <t>2024-03-05</t>
  </si>
  <si>
    <t>P229</t>
  </si>
  <si>
    <t>P230</t>
  </si>
  <si>
    <t>2024-04-28</t>
  </si>
  <si>
    <t>P231</t>
  </si>
  <si>
    <t>P232</t>
  </si>
  <si>
    <t>P233</t>
  </si>
  <si>
    <t>2024-08-05</t>
  </si>
  <si>
    <t>P234</t>
  </si>
  <si>
    <t>2024-04-15</t>
  </si>
  <si>
    <t>P235</t>
  </si>
  <si>
    <t>P236</t>
  </si>
  <si>
    <t>2024-07-01</t>
  </si>
  <si>
    <t>P237</t>
  </si>
  <si>
    <t>2024-12-21</t>
  </si>
  <si>
    <t>P238</t>
  </si>
  <si>
    <t>P239</t>
  </si>
  <si>
    <t>2024-12-19</t>
  </si>
  <si>
    <t>P240</t>
  </si>
  <si>
    <t>P241</t>
  </si>
  <si>
    <t>2024-07-29</t>
  </si>
  <si>
    <t>2024-08-04</t>
  </si>
  <si>
    <t>P242</t>
  </si>
  <si>
    <t>2025-01-03</t>
  </si>
  <si>
    <t>P243</t>
  </si>
  <si>
    <t>2024-11-11</t>
  </si>
  <si>
    <t>P244</t>
  </si>
  <si>
    <t>2024-01-03</t>
  </si>
  <si>
    <t>P245</t>
  </si>
  <si>
    <t>2024-06-08</t>
  </si>
  <si>
    <t>P246</t>
  </si>
  <si>
    <t>P247</t>
  </si>
  <si>
    <t>P248</t>
  </si>
  <si>
    <t>P249</t>
  </si>
  <si>
    <t>P250</t>
  </si>
  <si>
    <t>1.Vlookup</t>
  </si>
  <si>
    <t>Find Doctor based on Department</t>
  </si>
  <si>
    <t>Doctor</t>
  </si>
  <si>
    <t>2. INDEX + MATCH</t>
  </si>
  <si>
    <t>Find Doctor_Name using Patient_ID</t>
  </si>
  <si>
    <t>3.IF Condition</t>
  </si>
  <si>
    <t>cost&gt;50000</t>
  </si>
  <si>
    <t>High cost</t>
  </si>
  <si>
    <t>Either</t>
  </si>
  <si>
    <t>Low cost</t>
  </si>
  <si>
    <t>4. Nested IF</t>
  </si>
  <si>
    <t>Cost&gt;70000</t>
  </si>
  <si>
    <t>High</t>
  </si>
  <si>
    <t>Cost&gt;30000</t>
  </si>
  <si>
    <t>Medium</t>
  </si>
  <si>
    <t>Low</t>
  </si>
  <si>
    <t>Row Labels</t>
  </si>
  <si>
    <t>Grand Total</t>
  </si>
  <si>
    <t>Count of Patient_ID</t>
  </si>
  <si>
    <t>Column Labels</t>
  </si>
  <si>
    <t>Sum of Treatment_Cost</t>
  </si>
  <si>
    <t>Jan</t>
  </si>
  <si>
    <t>Feb</t>
  </si>
  <si>
    <t>Mar</t>
  </si>
  <si>
    <t>Apr</t>
  </si>
  <si>
    <t>May</t>
  </si>
  <si>
    <t>Jun</t>
  </si>
  <si>
    <t>Jul</t>
  </si>
  <si>
    <t>Aug</t>
  </si>
  <si>
    <t>Sep</t>
  </si>
  <si>
    <t>Oct</t>
  </si>
  <si>
    <t>Nov</t>
  </si>
  <si>
    <t>Dec</t>
  </si>
  <si>
    <r>
      <t xml:space="preserve">Dr. Patel generated the highest total treatment cost at </t>
    </r>
    <r>
      <rPr>
        <b/>
        <sz val="10"/>
        <color rgb="FF1F1F1F"/>
        <rFont val="Arial"/>
        <family val="2"/>
      </rPr>
      <t>₹2,501,379</t>
    </r>
    <r>
      <rPr>
        <sz val="10"/>
        <color rgb="FF1F1F1F"/>
        <rFont val="Arial"/>
        <family val="2"/>
      </rPr>
      <t xml:space="preserve">, contributing to a grand total of </t>
    </r>
    <r>
      <rPr>
        <b/>
        <sz val="10"/>
        <color rgb="FF1F1F1F"/>
        <rFont val="Arial"/>
        <family val="2"/>
      </rPr>
      <t>₹13,292,127</t>
    </r>
    <r>
      <rPr>
        <sz val="10"/>
        <color rgb="FF1F1F1F"/>
        <rFont val="Arial"/>
        <family val="2"/>
      </rPr>
      <t xml:space="preserve"> across all doctors.</t>
    </r>
  </si>
  <si>
    <r>
      <t xml:space="preserve">Out of 250 patients, </t>
    </r>
    <r>
      <rPr>
        <b/>
        <sz val="11"/>
        <color theme="1"/>
        <rFont val="Trebuchet MS"/>
        <family val="2"/>
        <scheme val="minor"/>
      </rPr>
      <t>89 recovered</t>
    </r>
    <r>
      <rPr>
        <sz val="11"/>
        <color theme="1"/>
        <rFont val="Trebuchet MS"/>
        <family val="2"/>
        <scheme val="minor"/>
      </rPr>
      <t xml:space="preserve">, </t>
    </r>
    <r>
      <rPr>
        <b/>
        <sz val="11"/>
        <color theme="1"/>
        <rFont val="Trebuchet MS"/>
        <family val="2"/>
        <scheme val="minor"/>
      </rPr>
      <t>82 were discharged</t>
    </r>
    <r>
      <rPr>
        <sz val="11"/>
        <color theme="1"/>
        <rFont val="Trebuchet MS"/>
        <family val="2"/>
        <scheme val="minor"/>
      </rPr>
      <t xml:space="preserve">, and </t>
    </r>
    <r>
      <rPr>
        <b/>
        <sz val="11"/>
        <color theme="1"/>
        <rFont val="Trebuchet MS"/>
        <family val="2"/>
        <scheme val="minor"/>
      </rPr>
      <t>79 are still being treated</t>
    </r>
    <r>
      <rPr>
        <sz val="11"/>
        <color theme="1"/>
        <rFont val="Trebuchet MS"/>
        <family val="2"/>
        <scheme val="minor"/>
      </rPr>
      <t>.</t>
    </r>
  </si>
  <si>
    <r>
      <t>Dermatology</t>
    </r>
    <r>
      <rPr>
        <sz val="11"/>
        <color theme="1"/>
        <rFont val="Trebuchet MS"/>
        <family val="2"/>
        <scheme val="minor"/>
      </rPr>
      <t xml:space="preserve"> had the most patients (42), while </t>
    </r>
    <r>
      <rPr>
        <b/>
        <sz val="11"/>
        <color theme="1"/>
        <rFont val="Trebuchet MS"/>
        <family val="2"/>
        <scheme val="minor"/>
      </rPr>
      <t>Pediatrics</t>
    </r>
    <r>
      <rPr>
        <sz val="11"/>
        <color theme="1"/>
        <rFont val="Trebuchet MS"/>
        <family val="2"/>
        <scheme val="minor"/>
      </rPr>
      <t xml:space="preserve"> had the fewest (27) out of a total of 250.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</si>
</sst>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_ [$₹-4009]\ * #,##0.00_ ;_ [$₹-4009]\ * \-#,##0.00_ ;_ [$₹-4009]\ * &quot;-&quot;??_ ;_ @_ "/>
  </numFmts>
  <fonts count="5" x14ac:knownFonts="1">
    <font>
      <sz val="11"/>
      <color theme="1"/>
      <name val="Trebuchet MS"/>
      <family val="2"/>
      <scheme val="minor"/>
    </font>
    <font>
      <b/>
      <sz val="11"/>
      <color theme="1"/>
      <name val="Trebuchet MS"/>
      <family val="2"/>
      <scheme val="minor"/>
    </font>
    <font>
      <b/>
      <sz val="18"/>
      <color rgb="FF1F1F1F"/>
      <name val="Times New Roman"/>
      <family val="1"/>
    </font>
    <font>
      <sz val="10"/>
      <color rgb="FF1F1F1F"/>
      <name val="Arial"/>
      <family val="2"/>
    </font>
    <font>
      <b/>
      <sz val="10"/>
      <color rgb="FF1F1F1F"/>
      <name val="Arial"/>
      <family val="2"/>
    </font>
  </fonts>
  <fills count="6">
    <fill>
      <patternFill patternType="none"/>
    </fill>
    <fill>
      <patternFill patternType="gray125"/>
    </fill>
    <fill>
      <patternFill patternType="solid">
        <fgColor rgb="FFF9F8BA"/>
        <bgColor indexed="64"/>
      </patternFill>
    </fill>
    <fill>
      <patternFill patternType="solid">
        <fgColor rgb="FF7030A0"/>
        <bgColor indexed="64"/>
      </patternFill>
    </fill>
    <fill>
      <patternFill patternType="solid">
        <fgColor theme="2" tint="-0.74999237037263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xf>
    <xf numFmtId="164" fontId="0" fillId="0" borderId="0" xfId="0" applyNumberFormat="1"/>
    <xf numFmtId="0" fontId="0" fillId="2" borderId="0" xfId="0" applyFill="1" applyAlignment="1">
      <alignment vertical="center" wrapText="1"/>
    </xf>
    <xf numFmtId="0" fontId="0" fillId="2" borderId="0" xfId="0" applyFill="1"/>
    <xf numFmtId="0" fontId="1" fillId="3" borderId="0" xfId="0" applyFont="1" applyFill="1" applyAlignment="1">
      <alignment horizontal="center" vertical="center" wrapText="1"/>
    </xf>
    <xf numFmtId="0" fontId="1" fillId="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165" fontId="0" fillId="0" borderId="0" xfId="0" applyNumberFormat="1"/>
    <xf numFmtId="0" fontId="0" fillId="5" borderId="0" xfId="0" applyFill="1"/>
    <xf numFmtId="0" fontId="2" fillId="5" borderId="0" xfId="0" applyFont="1" applyFill="1" applyAlignment="1">
      <alignment vertical="center"/>
    </xf>
    <xf numFmtId="0" fontId="3" fillId="5" borderId="0" xfId="0" applyFont="1" applyFill="1" applyAlignment="1">
      <alignment vertical="center"/>
    </xf>
    <xf numFmtId="0" fontId="0" fillId="5" borderId="0" xfId="0" applyFill="1" applyAlignment="1">
      <alignment horizontal="center"/>
    </xf>
    <xf numFmtId="0" fontId="0" fillId="0" borderId="0" xfId="0" applyNumberFormat="1"/>
  </cellXfs>
  <cellStyles count="1">
    <cellStyle name="Normal" xfId="0" builtinId="0"/>
  </cellStyles>
  <dxfs count="20">
    <dxf>
      <font>
        <color rgb="FF9C0006"/>
      </font>
      <fill>
        <patternFill>
          <bgColor rgb="FFFFC7CE"/>
        </patternFill>
      </fill>
    </dxf>
    <dxf>
      <fill>
        <patternFill patternType="solid">
          <fgColor indexed="64"/>
          <bgColor rgb="FFF9F8BA"/>
        </patternFill>
      </fill>
    </dxf>
    <dxf>
      <fill>
        <patternFill patternType="solid">
          <fgColor indexed="64"/>
          <bgColor rgb="FFF9F8BA"/>
        </patternFill>
      </fill>
    </dxf>
    <dxf>
      <font>
        <b/>
        <i val="0"/>
        <strike val="0"/>
        <condense val="0"/>
        <extend val="0"/>
        <outline val="0"/>
        <shadow val="0"/>
        <u val="none"/>
        <vertAlign val="baseline"/>
        <sz val="11"/>
        <color theme="1"/>
        <name val="Trebuchet MS"/>
        <family val="2"/>
        <scheme val="minor"/>
      </font>
      <fill>
        <patternFill patternType="solid">
          <fgColor indexed="64"/>
          <bgColor rgb="FF7030A0"/>
        </patternFill>
      </fill>
    </dxf>
    <dxf>
      <numFmt numFmtId="0" formatCode="General"/>
      <fill>
        <patternFill patternType="solid">
          <fgColor indexed="64"/>
          <bgColor rgb="FFF9F8BA"/>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fill>
        <patternFill patternType="solid">
          <fgColor indexed="64"/>
          <bgColor rgb="FF7030A0"/>
        </patternFill>
      </fill>
      <alignment horizontal="center" vertical="center" textRotation="0" wrapText="1" indent="0" justifyLastLine="0" shrinkToFit="0" readingOrder="0"/>
    </dxf>
    <dxf>
      <font>
        <b/>
        <i val="0"/>
        <color theme="0"/>
      </font>
      <border>
        <bottom style="thin">
          <color theme="4"/>
        </bottom>
        <vertical/>
        <horizontal/>
      </border>
    </dxf>
    <dxf>
      <font>
        <color theme="1"/>
      </font>
      <fill>
        <patternFill>
          <bgColor theme="1"/>
        </patternFill>
      </fill>
      <border>
        <left style="thin">
          <color theme="4"/>
        </left>
        <right style="thin">
          <color theme="4"/>
        </right>
        <top style="thin">
          <color theme="4"/>
        </top>
        <bottom style="thin">
          <color theme="4"/>
        </bottom>
        <vertical/>
        <horizontal/>
      </border>
    </dxf>
    <dxf>
      <font>
        <b/>
        <i val="0"/>
        <color theme="0"/>
      </font>
      <border>
        <bottom style="thin">
          <color theme="5"/>
        </bottom>
        <vertical/>
        <horizontal/>
      </border>
    </dxf>
    <dxf>
      <font>
        <color theme="1"/>
      </font>
      <fill>
        <patternFill>
          <bgColor theme="1"/>
        </patternFill>
      </fill>
      <border>
        <left style="thin">
          <color theme="5"/>
        </left>
        <right style="thin">
          <color theme="5"/>
        </right>
        <top style="thin">
          <color theme="5"/>
        </top>
        <bottom style="thin">
          <color theme="5"/>
        </bottom>
        <vertical/>
        <horizontal/>
      </border>
    </dxf>
    <dxf>
      <font>
        <b/>
        <i val="0"/>
        <color theme="0"/>
      </font>
      <border>
        <bottom style="thin">
          <color theme="7"/>
        </bottom>
        <vertical/>
        <horizontal/>
      </border>
    </dxf>
    <dxf>
      <font>
        <color theme="1"/>
      </font>
      <fill>
        <patternFill>
          <bgColor theme="1"/>
        </patternFill>
      </fill>
      <border>
        <left style="thin">
          <color theme="7"/>
        </left>
        <right style="thin">
          <color theme="7"/>
        </right>
        <top style="thin">
          <color theme="7"/>
        </top>
        <bottom style="thin">
          <color theme="7"/>
        </bottom>
        <vertical/>
        <horizontal/>
      </border>
    </dxf>
    <dxf>
      <font>
        <b/>
        <i val="0"/>
        <color theme="0"/>
      </font>
      <border>
        <bottom style="thin">
          <color theme="7"/>
        </bottom>
        <vertical/>
        <horizontal/>
      </border>
    </dxf>
    <dxf>
      <font>
        <color theme="1"/>
      </font>
      <fill>
        <patternFill>
          <bgColor theme="1"/>
        </patternFill>
      </fill>
      <border>
        <left style="thin">
          <color theme="7"/>
        </left>
        <right style="thin">
          <color theme="7"/>
        </right>
        <top style="thin">
          <color theme="7"/>
        </top>
        <bottom style="thin">
          <color theme="7"/>
        </bottom>
        <vertical/>
        <horizontal/>
      </border>
    </dxf>
    <dxf>
      <font>
        <b/>
        <i val="0"/>
        <color theme="0"/>
      </font>
      <border>
        <bottom style="thin">
          <color theme="7"/>
        </bottom>
        <vertical/>
        <horizontal/>
      </border>
    </dxf>
    <dxf>
      <font>
        <color theme="1"/>
      </font>
      <fill>
        <patternFill>
          <bgColor theme="1"/>
        </patternFill>
      </fill>
      <border>
        <left style="thin">
          <color theme="7"/>
        </left>
        <right style="thin">
          <color theme="7"/>
        </right>
        <top style="thin">
          <color theme="7"/>
        </top>
        <bottom style="thin">
          <color theme="7"/>
        </bottom>
        <vertical/>
        <horizontal/>
      </border>
    </dxf>
    <dxf>
      <font>
        <b/>
        <i val="0"/>
        <color theme="0"/>
      </font>
      <border>
        <bottom style="thin">
          <color theme="7"/>
        </bottom>
        <vertical/>
        <horizontal/>
      </border>
    </dxf>
    <dxf>
      <font>
        <color theme="1"/>
      </font>
      <fill>
        <patternFill>
          <bgColor theme="1"/>
        </patternFill>
      </fill>
      <border>
        <left style="thin">
          <color theme="7"/>
        </left>
        <right style="thin">
          <color theme="7"/>
        </right>
        <top style="thin">
          <color theme="7"/>
        </top>
        <bottom style="thin">
          <color theme="7"/>
        </bottom>
        <vertical/>
        <horizontal/>
      </border>
    </dxf>
    <dxf>
      <font>
        <b/>
        <i val="0"/>
        <color theme="0"/>
      </font>
      <border>
        <bottom style="thin">
          <color theme="7"/>
        </bottom>
        <vertical/>
        <horizontal/>
      </border>
    </dxf>
    <dxf>
      <font>
        <color theme="1"/>
      </font>
      <fill>
        <patternFill>
          <bgColor theme="1"/>
        </patternFill>
      </fill>
      <border>
        <left style="thin">
          <color theme="7"/>
        </left>
        <right style="thin">
          <color theme="7"/>
        </right>
        <top style="thin">
          <color theme="7"/>
        </top>
        <bottom style="thin">
          <color theme="7"/>
        </bottom>
        <vertical/>
        <horizontal/>
      </border>
    </dxf>
  </dxfs>
  <tableStyles count="7" defaultTableStyle="TableStyleMedium2" defaultPivotStyle="PivotStyleLight16">
    <tableStyle name="2" pivot="0" table="0" count="10" xr9:uid="{ECAD03DD-AA7D-46DD-A3BF-00D9932812F9}">
      <tableStyleElement type="wholeTable" dxfId="19"/>
      <tableStyleElement type="headerRow" dxfId="18"/>
    </tableStyle>
    <tableStyle name="2 2" pivot="0" table="0" count="10" xr9:uid="{22672E3F-D03B-46C1-AEDA-9BE0A00CC5E8}">
      <tableStyleElement type="wholeTable" dxfId="17"/>
      <tableStyleElement type="headerRow" dxfId="16"/>
    </tableStyle>
    <tableStyle name="2 3" pivot="0" table="0" count="10" xr9:uid="{D845B89C-AE5F-41DF-A344-0BD8C62D4680}">
      <tableStyleElement type="wholeTable" dxfId="15"/>
      <tableStyleElement type="headerRow" dxfId="14"/>
    </tableStyle>
    <tableStyle name="2 4" pivot="0" table="0" count="10" xr9:uid="{50934716-074C-4AF3-B630-91528F351E8A}">
      <tableStyleElement type="wholeTable" dxfId="13"/>
      <tableStyleElement type="headerRow" dxfId="12"/>
    </tableStyle>
    <tableStyle name="2 5" pivot="0" table="0" count="10" xr9:uid="{39622E9A-154A-4E33-BA65-AD9F90FDFE6A}">
      <tableStyleElement type="wholeTable" dxfId="11"/>
      <tableStyleElement type="headerRow" dxfId="10"/>
    </tableStyle>
    <tableStyle name="SlicerStyleDark2 2" pivot="0" table="0" count="10" xr9:uid="{A8C29B0C-F9DE-495E-8582-57720E72B94C}">
      <tableStyleElement type="wholeTable" dxfId="9"/>
      <tableStyleElement type="headerRow" dxfId="8"/>
    </tableStyle>
    <tableStyle name="SlicerStyleLight1 2" pivot="0" table="0" count="10" xr9:uid="{47BF7029-64F2-40B1-8D29-DF5F3E2C60A8}">
      <tableStyleElement type="wholeTable" dxfId="7"/>
      <tableStyleElement type="headerRow" dxfId="6"/>
    </tableStyle>
  </tableStyles>
  <colors>
    <mruColors>
      <color rgb="FF6A2D97"/>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tint="-0.2499465926084170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tint="-0.2499465926084170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tint="-0.2499465926084170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tint="-0.2499465926084170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tint="-0.2499465926084170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2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2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2 5">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20835986454495E-2"/>
          <c:y val="0.11445843193074814"/>
          <c:w val="0.87999987030167826"/>
          <c:h val="0.63590389772643419"/>
        </c:manualLayout>
      </c:layout>
      <c:barChart>
        <c:barDir val="col"/>
        <c:grouping val="clustered"/>
        <c:varyColors val="0"/>
        <c:dLbls>
          <c:showLegendKey val="0"/>
          <c:showVal val="0"/>
          <c:showCatName val="0"/>
          <c:showSerName val="0"/>
          <c:showPercent val="0"/>
          <c:showBubbleSize val="0"/>
        </c:dLbls>
        <c:gapWidth val="219"/>
        <c:overlap val="-27"/>
        <c:axId val="1178116031"/>
        <c:axId val="1178116511"/>
      </c:barChart>
      <c:catAx>
        <c:axId val="117811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8116511"/>
        <c:crosses val="autoZero"/>
        <c:auto val="1"/>
        <c:lblAlgn val="ctr"/>
        <c:lblOffset val="100"/>
        <c:noMultiLvlLbl val="0"/>
      </c:catAx>
      <c:valAx>
        <c:axId val="1178116511"/>
        <c:scaling>
          <c:orientation val="minMax"/>
        </c:scaling>
        <c:delete val="0"/>
        <c:axPos val="l"/>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8116031"/>
        <c:crosses val="autoZero"/>
        <c:crossBetween val="between"/>
      </c:valAx>
      <c:spPr>
        <a:noFill/>
        <a:ln>
          <a:noFill/>
        </a:ln>
        <a:effectLst/>
      </c:spPr>
    </c:plotArea>
    <c:plotVisOnly val="1"/>
    <c:dispBlanksAs val="gap"/>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[Hospital_Analysis.xlsx]Bar chart !PivotTable1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 '!$B$3:$B$4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 '!$A$5:$A$11</c:f>
              <c:strCache>
                <c:ptCount val="6"/>
                <c:pt idx="0">
                  <c:v>Cardiology</c:v>
                </c:pt>
                <c:pt idx="1">
                  <c:v>Dermatology</c:v>
                </c:pt>
                <c:pt idx="2">
                  <c:v>General</c:v>
                </c:pt>
                <c:pt idx="3">
                  <c:v>Neurology</c:v>
                </c:pt>
                <c:pt idx="4">
                  <c:v>Orthopedics</c:v>
                </c:pt>
                <c:pt idx="5">
                  <c:v>Pediatrics</c:v>
                </c:pt>
              </c:strCache>
            </c:strRef>
          </c:cat>
          <c:val>
            <c:numRef>
              <c:f>'Bar chart '!$B$5:$B$11</c:f>
              <c:numCache>
                <c:formatCode>General</c:formatCode>
                <c:ptCount val="6"/>
                <c:pt idx="0">
                  <c:v>5</c:v>
                </c:pt>
                <c:pt idx="1">
                  <c:v>6</c:v>
                </c:pt>
                <c:pt idx="2">
                  <c:v>3</c:v>
                </c:pt>
                <c:pt idx="3">
                  <c:v>4</c:v>
                </c:pt>
                <c:pt idx="4">
                  <c:v>3</c:v>
                </c:pt>
                <c:pt idx="5">
                  <c:v>1</c:v>
                </c:pt>
              </c:numCache>
            </c:numRef>
          </c:val>
          <c:extLst>
            <c:ext xmlns:c16="http://schemas.microsoft.com/office/drawing/2014/chart" uri="{C3380CC4-5D6E-409C-BE32-E72D297353CC}">
              <c16:uniqueId val="{00000000-B46D-4949-97B8-2F193B8A44BE}"/>
            </c:ext>
          </c:extLst>
        </c:ser>
        <c:dLbls>
          <c:showLegendKey val="0"/>
          <c:showVal val="0"/>
          <c:showCatName val="0"/>
          <c:showSerName val="0"/>
          <c:showPercent val="0"/>
          <c:showBubbleSize val="0"/>
        </c:dLbls>
        <c:gapWidth val="182"/>
        <c:axId val="1175302287"/>
        <c:axId val="1175302767"/>
      </c:barChart>
      <c:catAx>
        <c:axId val="1175302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5302767"/>
        <c:crosses val="autoZero"/>
        <c:auto val="1"/>
        <c:lblAlgn val="ctr"/>
        <c:lblOffset val="100"/>
        <c:noMultiLvlLbl val="0"/>
      </c:catAx>
      <c:valAx>
        <c:axId val="11753027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5302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[Hospital_Analysis.xlsx]Column chart2!PivotTable2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2666004242592"/>
          <c:y val="5.0925925925925923E-2"/>
          <c:w val="0.74722641500983122"/>
          <c:h val="0.79081802274715662"/>
        </c:manualLayout>
      </c:layout>
      <c:barChart>
        <c:barDir val="col"/>
        <c:grouping val="clustered"/>
        <c:varyColors val="0"/>
        <c:ser>
          <c:idx val="0"/>
          <c:order val="0"/>
          <c:tx>
            <c:strRef>
              <c:f>'Column chart2'!$B$3</c:f>
              <c:strCache>
                <c:ptCount val="1"/>
                <c:pt idx="0">
                  <c:v>Total</c:v>
                </c:pt>
              </c:strCache>
            </c:strRef>
          </c:tx>
          <c:spPr>
            <a:solidFill>
              <a:schemeClr val="accent1"/>
            </a:solidFill>
            <a:ln>
              <a:noFill/>
            </a:ln>
            <a:effectLst/>
          </c:spPr>
          <c:invertIfNegative val="0"/>
          <c:cat>
            <c:strRef>
              <c:f>'Column chart2'!$A$4:$A$10</c:f>
              <c:strCache>
                <c:ptCount val="6"/>
                <c:pt idx="0">
                  <c:v>Dr. Gupta</c:v>
                </c:pt>
                <c:pt idx="1">
                  <c:v>Dr. Mehta</c:v>
                </c:pt>
                <c:pt idx="2">
                  <c:v>Dr. Patel</c:v>
                </c:pt>
                <c:pt idx="3">
                  <c:v>Dr. Shah</c:v>
                </c:pt>
                <c:pt idx="4">
                  <c:v>Dr. Sharma</c:v>
                </c:pt>
                <c:pt idx="5">
                  <c:v>Dr. Singh</c:v>
                </c:pt>
              </c:strCache>
            </c:strRef>
          </c:cat>
          <c:val>
            <c:numRef>
              <c:f>'Column chart2'!$B$4:$B$10</c:f>
              <c:numCache>
                <c:formatCode>General</c:formatCode>
                <c:ptCount val="6"/>
                <c:pt idx="0">
                  <c:v>39768</c:v>
                </c:pt>
                <c:pt idx="1">
                  <c:v>220517</c:v>
                </c:pt>
                <c:pt idx="2">
                  <c:v>460203</c:v>
                </c:pt>
                <c:pt idx="3">
                  <c:v>113784</c:v>
                </c:pt>
                <c:pt idx="4">
                  <c:v>104049</c:v>
                </c:pt>
                <c:pt idx="5">
                  <c:v>272402</c:v>
                </c:pt>
              </c:numCache>
            </c:numRef>
          </c:val>
          <c:extLst>
            <c:ext xmlns:c16="http://schemas.microsoft.com/office/drawing/2014/chart" uri="{C3380CC4-5D6E-409C-BE32-E72D297353CC}">
              <c16:uniqueId val="{00000000-E5CD-4851-A044-CFD51995F112}"/>
            </c:ext>
          </c:extLst>
        </c:ser>
        <c:dLbls>
          <c:showLegendKey val="0"/>
          <c:showVal val="0"/>
          <c:showCatName val="0"/>
          <c:showSerName val="0"/>
          <c:showPercent val="0"/>
          <c:showBubbleSize val="0"/>
        </c:dLbls>
        <c:gapWidth val="219"/>
        <c:axId val="1734254015"/>
        <c:axId val="1734255455"/>
      </c:barChart>
      <c:catAx>
        <c:axId val="173425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734255455"/>
        <c:crosses val="autoZero"/>
        <c:auto val="1"/>
        <c:lblAlgn val="ctr"/>
        <c:lblOffset val="100"/>
        <c:noMultiLvlLbl val="0"/>
      </c:catAx>
      <c:valAx>
        <c:axId val="1734255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3425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[Hospital_Analysis.xlsx]Line chart!PivotTable5</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multiLvlStrRef>
              <c:f>'Line chart'!$A$4:$A$16</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2024</c:v>
                  </c:pt>
                </c:lvl>
              </c:multiLvlStrCache>
            </c:multiLvlStrRef>
          </c:cat>
          <c:val>
            <c:numRef>
              <c:f>'Line chart'!$B$4:$B$16</c:f>
              <c:numCache>
                <c:formatCode>General</c:formatCode>
                <c:ptCount val="11"/>
                <c:pt idx="0">
                  <c:v>1</c:v>
                </c:pt>
                <c:pt idx="1">
                  <c:v>1</c:v>
                </c:pt>
                <c:pt idx="2">
                  <c:v>3</c:v>
                </c:pt>
                <c:pt idx="3">
                  <c:v>2</c:v>
                </c:pt>
                <c:pt idx="4">
                  <c:v>2</c:v>
                </c:pt>
                <c:pt idx="5">
                  <c:v>2</c:v>
                </c:pt>
                <c:pt idx="6">
                  <c:v>1</c:v>
                </c:pt>
                <c:pt idx="7">
                  <c:v>2</c:v>
                </c:pt>
                <c:pt idx="8">
                  <c:v>2</c:v>
                </c:pt>
                <c:pt idx="9">
                  <c:v>3</c:v>
                </c:pt>
                <c:pt idx="10">
                  <c:v>3</c:v>
                </c:pt>
              </c:numCache>
            </c:numRef>
          </c:val>
          <c:smooth val="0"/>
          <c:extLst>
            <c:ext xmlns:c16="http://schemas.microsoft.com/office/drawing/2014/chart" uri="{C3380CC4-5D6E-409C-BE32-E72D297353CC}">
              <c16:uniqueId val="{00000000-A5B9-4068-BD94-4D7D46126888}"/>
            </c:ext>
          </c:extLst>
        </c:ser>
        <c:dLbls>
          <c:showLegendKey val="0"/>
          <c:showVal val="0"/>
          <c:showCatName val="0"/>
          <c:showSerName val="0"/>
          <c:showPercent val="0"/>
          <c:showBubbleSize val="0"/>
        </c:dLbls>
        <c:smooth val="0"/>
        <c:axId val="1175305167"/>
        <c:axId val="1175305647"/>
      </c:lineChart>
      <c:catAx>
        <c:axId val="117530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5305647"/>
        <c:crosses val="autoZero"/>
        <c:auto val="1"/>
        <c:lblAlgn val="ctr"/>
        <c:lblOffset val="100"/>
        <c:noMultiLvlLbl val="0"/>
      </c:catAx>
      <c:valAx>
        <c:axId val="1175305647"/>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530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[Hospital_Analysis.xlsx]Bar chart2!PivotTable6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chart2'!$B$3</c:f>
              <c:strCache>
                <c:ptCount val="1"/>
                <c:pt idx="0">
                  <c:v>Total</c:v>
                </c:pt>
              </c:strCache>
            </c:strRef>
          </c:tx>
          <c:spPr>
            <a:solidFill>
              <a:schemeClr val="accent1"/>
            </a:solidFill>
            <a:ln>
              <a:noFill/>
            </a:ln>
            <a:effectLst/>
          </c:spPr>
          <c:invertIfNegative val="0"/>
          <c:cat>
            <c:strRef>
              <c:f>'Bar chart2'!$A$4:$A$10</c:f>
              <c:strCache>
                <c:ptCount val="6"/>
                <c:pt idx="0">
                  <c:v>Cardiology</c:v>
                </c:pt>
                <c:pt idx="1">
                  <c:v>Dermatology</c:v>
                </c:pt>
                <c:pt idx="2">
                  <c:v>General</c:v>
                </c:pt>
                <c:pt idx="3">
                  <c:v>Neurology</c:v>
                </c:pt>
                <c:pt idx="4">
                  <c:v>Orthopedics</c:v>
                </c:pt>
                <c:pt idx="5">
                  <c:v>Pediatrics</c:v>
                </c:pt>
              </c:strCache>
            </c:strRef>
          </c:cat>
          <c:val>
            <c:numRef>
              <c:f>'Bar chart2'!$B$4:$B$10</c:f>
              <c:numCache>
                <c:formatCode>General</c:formatCode>
                <c:ptCount val="6"/>
                <c:pt idx="0">
                  <c:v>5</c:v>
                </c:pt>
                <c:pt idx="1">
                  <c:v>6</c:v>
                </c:pt>
                <c:pt idx="2">
                  <c:v>3</c:v>
                </c:pt>
                <c:pt idx="3">
                  <c:v>4</c:v>
                </c:pt>
                <c:pt idx="4">
                  <c:v>3</c:v>
                </c:pt>
                <c:pt idx="5">
                  <c:v>1</c:v>
                </c:pt>
              </c:numCache>
            </c:numRef>
          </c:val>
          <c:extLst>
            <c:ext xmlns:c16="http://schemas.microsoft.com/office/drawing/2014/chart" uri="{C3380CC4-5D6E-409C-BE32-E72D297353CC}">
              <c16:uniqueId val="{00000000-345C-4D6C-B7E3-DECDEA8CDA92}"/>
            </c:ext>
          </c:extLst>
        </c:ser>
        <c:dLbls>
          <c:showLegendKey val="0"/>
          <c:showVal val="0"/>
          <c:showCatName val="0"/>
          <c:showSerName val="0"/>
          <c:showPercent val="0"/>
          <c:showBubbleSize val="0"/>
        </c:dLbls>
        <c:gapWidth val="219"/>
        <c:overlap val="-27"/>
        <c:axId val="1785608015"/>
        <c:axId val="1785609455"/>
      </c:barChart>
      <c:catAx>
        <c:axId val="178560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85609455"/>
        <c:crosses val="autoZero"/>
        <c:auto val="1"/>
        <c:lblAlgn val="ctr"/>
        <c:lblOffset val="100"/>
        <c:noMultiLvlLbl val="0"/>
      </c:catAx>
      <c:valAx>
        <c:axId val="1785609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8560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[Hospital_Analysis.xlsx]Pie chart!PivotTable4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65000"/>
                  <a:tint val="73000"/>
                  <a:shade val="100000"/>
                  <a:satMod val="150000"/>
                </a:schemeClr>
              </a:gs>
              <a:gs pos="25000">
                <a:schemeClr val="accent2">
                  <a:shade val="65000"/>
                  <a:tint val="96000"/>
                  <a:shade val="80000"/>
                  <a:satMod val="105000"/>
                </a:schemeClr>
              </a:gs>
              <a:gs pos="38000">
                <a:schemeClr val="accent2">
                  <a:shade val="65000"/>
                  <a:tint val="96000"/>
                  <a:shade val="59000"/>
                  <a:satMod val="120000"/>
                </a:schemeClr>
              </a:gs>
              <a:gs pos="55000">
                <a:schemeClr val="accent2">
                  <a:shade val="65000"/>
                  <a:tint val="100000"/>
                  <a:shade val="57000"/>
                  <a:satMod val="120000"/>
                </a:schemeClr>
              </a:gs>
              <a:gs pos="80000">
                <a:schemeClr val="accent2">
                  <a:shade val="65000"/>
                  <a:tint val="100000"/>
                  <a:shade val="56000"/>
                  <a:satMod val="145000"/>
                </a:schemeClr>
              </a:gs>
              <a:gs pos="88000">
                <a:schemeClr val="accent2">
                  <a:shade val="65000"/>
                  <a:tint val="100000"/>
                  <a:shade val="63000"/>
                  <a:satMod val="160000"/>
                </a:schemeClr>
              </a:gs>
              <a:gs pos="100000">
                <a:schemeClr val="accent2">
                  <a:shade val="65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7"/>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8"/>
        <c:spPr>
          <a:gradFill rotWithShape="1">
            <a:gsLst>
              <a:gs pos="0">
                <a:schemeClr val="accent2">
                  <a:tint val="65000"/>
                  <a:tint val="73000"/>
                  <a:shade val="100000"/>
                  <a:satMod val="150000"/>
                </a:schemeClr>
              </a:gs>
              <a:gs pos="25000">
                <a:schemeClr val="accent2">
                  <a:tint val="65000"/>
                  <a:tint val="96000"/>
                  <a:shade val="80000"/>
                  <a:satMod val="105000"/>
                </a:schemeClr>
              </a:gs>
              <a:gs pos="38000">
                <a:schemeClr val="accent2">
                  <a:tint val="65000"/>
                  <a:tint val="96000"/>
                  <a:shade val="59000"/>
                  <a:satMod val="120000"/>
                </a:schemeClr>
              </a:gs>
              <a:gs pos="55000">
                <a:schemeClr val="accent2">
                  <a:tint val="65000"/>
                  <a:tint val="100000"/>
                  <a:shade val="57000"/>
                  <a:satMod val="120000"/>
                </a:schemeClr>
              </a:gs>
              <a:gs pos="80000">
                <a:schemeClr val="accent2">
                  <a:tint val="65000"/>
                  <a:tint val="100000"/>
                  <a:shade val="56000"/>
                  <a:satMod val="145000"/>
                </a:schemeClr>
              </a:gs>
              <a:gs pos="88000">
                <a:schemeClr val="accent2">
                  <a:tint val="65000"/>
                  <a:tint val="100000"/>
                  <a:shade val="63000"/>
                  <a:satMod val="160000"/>
                </a:schemeClr>
              </a:gs>
              <a:gs pos="100000">
                <a:schemeClr val="accent2">
                  <a:tint val="65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pieChart>
        <c:varyColors val="1"/>
        <c:ser>
          <c:idx val="0"/>
          <c:order val="0"/>
          <c:tx>
            <c:strRef>
              <c:f>'Pie chart'!$B$3</c:f>
              <c:strCache>
                <c:ptCount val="1"/>
                <c:pt idx="0">
                  <c:v>Total</c:v>
                </c:pt>
              </c:strCache>
            </c:strRef>
          </c:tx>
          <c:dPt>
            <c:idx val="0"/>
            <c:bubble3D val="0"/>
            <c:spPr>
              <a:gradFill rotWithShape="1">
                <a:gsLst>
                  <a:gs pos="0">
                    <a:schemeClr val="accent2">
                      <a:shade val="65000"/>
                      <a:tint val="73000"/>
                      <a:shade val="100000"/>
                      <a:satMod val="150000"/>
                    </a:schemeClr>
                  </a:gs>
                  <a:gs pos="25000">
                    <a:schemeClr val="accent2">
                      <a:shade val="65000"/>
                      <a:tint val="96000"/>
                      <a:shade val="80000"/>
                      <a:satMod val="105000"/>
                    </a:schemeClr>
                  </a:gs>
                  <a:gs pos="38000">
                    <a:schemeClr val="accent2">
                      <a:shade val="65000"/>
                      <a:tint val="96000"/>
                      <a:shade val="59000"/>
                      <a:satMod val="120000"/>
                    </a:schemeClr>
                  </a:gs>
                  <a:gs pos="55000">
                    <a:schemeClr val="accent2">
                      <a:shade val="65000"/>
                      <a:tint val="100000"/>
                      <a:shade val="57000"/>
                      <a:satMod val="120000"/>
                    </a:schemeClr>
                  </a:gs>
                  <a:gs pos="80000">
                    <a:schemeClr val="accent2">
                      <a:shade val="65000"/>
                      <a:tint val="100000"/>
                      <a:shade val="56000"/>
                      <a:satMod val="145000"/>
                    </a:schemeClr>
                  </a:gs>
                  <a:gs pos="88000">
                    <a:schemeClr val="accent2">
                      <a:shade val="65000"/>
                      <a:tint val="100000"/>
                      <a:shade val="63000"/>
                      <a:satMod val="160000"/>
                    </a:schemeClr>
                  </a:gs>
                  <a:gs pos="100000">
                    <a:schemeClr val="accent2">
                      <a:shade val="65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E951-4977-9223-42B5CAC7468B}"/>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E951-4977-9223-42B5CAC7468B}"/>
              </c:ext>
            </c:extLst>
          </c:dPt>
          <c:dPt>
            <c:idx val="2"/>
            <c:bubble3D val="0"/>
            <c:spPr>
              <a:gradFill rotWithShape="1">
                <a:gsLst>
                  <a:gs pos="0">
                    <a:schemeClr val="accent2">
                      <a:tint val="65000"/>
                      <a:tint val="73000"/>
                      <a:shade val="100000"/>
                      <a:satMod val="150000"/>
                    </a:schemeClr>
                  </a:gs>
                  <a:gs pos="25000">
                    <a:schemeClr val="accent2">
                      <a:tint val="65000"/>
                      <a:tint val="96000"/>
                      <a:shade val="80000"/>
                      <a:satMod val="105000"/>
                    </a:schemeClr>
                  </a:gs>
                  <a:gs pos="38000">
                    <a:schemeClr val="accent2">
                      <a:tint val="65000"/>
                      <a:tint val="96000"/>
                      <a:shade val="59000"/>
                      <a:satMod val="120000"/>
                    </a:schemeClr>
                  </a:gs>
                  <a:gs pos="55000">
                    <a:schemeClr val="accent2">
                      <a:tint val="65000"/>
                      <a:tint val="100000"/>
                      <a:shade val="57000"/>
                      <a:satMod val="120000"/>
                    </a:schemeClr>
                  </a:gs>
                  <a:gs pos="80000">
                    <a:schemeClr val="accent2">
                      <a:tint val="65000"/>
                      <a:tint val="100000"/>
                      <a:shade val="56000"/>
                      <a:satMod val="145000"/>
                    </a:schemeClr>
                  </a:gs>
                  <a:gs pos="88000">
                    <a:schemeClr val="accent2">
                      <a:tint val="65000"/>
                      <a:tint val="100000"/>
                      <a:shade val="63000"/>
                      <a:satMod val="160000"/>
                    </a:schemeClr>
                  </a:gs>
                  <a:gs pos="100000">
                    <a:schemeClr val="accent2">
                      <a:tint val="65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E951-4977-9223-42B5CAC746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chart'!$A$4:$A$7</c:f>
              <c:strCache>
                <c:ptCount val="3"/>
                <c:pt idx="0">
                  <c:v>Discharged</c:v>
                </c:pt>
                <c:pt idx="1">
                  <c:v>Recovered</c:v>
                </c:pt>
                <c:pt idx="2">
                  <c:v>Under Treatment</c:v>
                </c:pt>
              </c:strCache>
            </c:strRef>
          </c:cat>
          <c:val>
            <c:numRef>
              <c:f>'Pie chart'!$B$4:$B$7</c:f>
              <c:numCache>
                <c:formatCode>General</c:formatCode>
                <c:ptCount val="3"/>
                <c:pt idx="0">
                  <c:v>7</c:v>
                </c:pt>
                <c:pt idx="1">
                  <c:v>9</c:v>
                </c:pt>
                <c:pt idx="2">
                  <c:v>6</c:v>
                </c:pt>
              </c:numCache>
            </c:numRef>
          </c:val>
          <c:extLst>
            <c:ext xmlns:c16="http://schemas.microsoft.com/office/drawing/2014/chart" uri="{C3380CC4-5D6E-409C-BE32-E72D297353CC}">
              <c16:uniqueId val="{00000006-E951-4977-9223-42B5CAC7468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[Hospital_Analysis.xlsx]Column chart!PivotTable3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1"/>
            </a:solidFill>
            <a:ln>
              <a:noFill/>
            </a:ln>
            <a:effectLst/>
          </c:spPr>
          <c:invertIfNegative val="0"/>
          <c:cat>
            <c:multiLvlStrRef>
              <c:f>'Column chart'!$A$4:$A$16</c:f>
              <c:multiLvlStrCache>
                <c:ptCount val="11"/>
                <c:lvl>
                  <c:pt idx="0">
                    <c:v>Jan</c:v>
                  </c:pt>
                  <c:pt idx="1">
                    <c:v>Mar</c:v>
                  </c:pt>
                  <c:pt idx="2">
                    <c:v>Apr</c:v>
                  </c:pt>
                  <c:pt idx="3">
                    <c:v>May</c:v>
                  </c:pt>
                  <c:pt idx="4">
                    <c:v>Jun</c:v>
                  </c:pt>
                  <c:pt idx="5">
                    <c:v>Jul</c:v>
                  </c:pt>
                  <c:pt idx="6">
                    <c:v>Aug</c:v>
                  </c:pt>
                  <c:pt idx="7">
                    <c:v>Sep</c:v>
                  </c:pt>
                  <c:pt idx="8">
                    <c:v>Oct</c:v>
                  </c:pt>
                  <c:pt idx="9">
                    <c:v>Nov</c:v>
                  </c:pt>
                  <c:pt idx="10">
                    <c:v>Dec</c:v>
                  </c:pt>
                </c:lvl>
                <c:lvl>
                  <c:pt idx="0">
                    <c:v>2024</c:v>
                  </c:pt>
                </c:lvl>
              </c:multiLvlStrCache>
            </c:multiLvlStrRef>
          </c:cat>
          <c:val>
            <c:numRef>
              <c:f>'Column chart'!$B$4:$B$16</c:f>
              <c:numCache>
                <c:formatCode>General</c:formatCode>
                <c:ptCount val="11"/>
                <c:pt idx="0">
                  <c:v>73595</c:v>
                </c:pt>
                <c:pt idx="1">
                  <c:v>247521</c:v>
                </c:pt>
                <c:pt idx="2">
                  <c:v>9859</c:v>
                </c:pt>
                <c:pt idx="3">
                  <c:v>196380</c:v>
                </c:pt>
                <c:pt idx="4">
                  <c:v>108239</c:v>
                </c:pt>
                <c:pt idx="5">
                  <c:v>29909</c:v>
                </c:pt>
                <c:pt idx="6">
                  <c:v>130535</c:v>
                </c:pt>
                <c:pt idx="7">
                  <c:v>34068</c:v>
                </c:pt>
                <c:pt idx="8">
                  <c:v>277307</c:v>
                </c:pt>
                <c:pt idx="9">
                  <c:v>73432</c:v>
                </c:pt>
                <c:pt idx="10">
                  <c:v>29878</c:v>
                </c:pt>
              </c:numCache>
            </c:numRef>
          </c:val>
          <c:extLst>
            <c:ext xmlns:c16="http://schemas.microsoft.com/office/drawing/2014/chart" uri="{C3380CC4-5D6E-409C-BE32-E72D297353CC}">
              <c16:uniqueId val="{00000000-85E7-49AA-A976-B02BD772E1FA}"/>
            </c:ext>
          </c:extLst>
        </c:ser>
        <c:dLbls>
          <c:showLegendKey val="0"/>
          <c:showVal val="0"/>
          <c:showCatName val="0"/>
          <c:showSerName val="0"/>
          <c:showPercent val="0"/>
          <c:showBubbleSize val="0"/>
        </c:dLbls>
        <c:gapWidth val="219"/>
        <c:overlap val="-27"/>
        <c:axId val="1734254975"/>
        <c:axId val="1734197055"/>
      </c:barChart>
      <c:catAx>
        <c:axId val="1734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34197055"/>
        <c:crosses val="autoZero"/>
        <c:auto val="1"/>
        <c:lblAlgn val="ctr"/>
        <c:lblOffset val="100"/>
        <c:noMultiLvlLbl val="0"/>
      </c:catAx>
      <c:valAx>
        <c:axId val="1734197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173425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[Hospital_Analysis.xlsx]Bar chart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Patients per Department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'Bar chart '!$B$3:$B$4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 '!$A$5:$A$11</c:f>
              <c:strCache>
                <c:ptCount val="6"/>
                <c:pt idx="0">
                  <c:v>Cardiology</c:v>
                </c:pt>
                <c:pt idx="1">
                  <c:v>Dermatology</c:v>
                </c:pt>
                <c:pt idx="2">
                  <c:v>General</c:v>
                </c:pt>
                <c:pt idx="3">
                  <c:v>Neurology</c:v>
                </c:pt>
                <c:pt idx="4">
                  <c:v>Orthopedics</c:v>
                </c:pt>
                <c:pt idx="5">
                  <c:v>Pediatrics</c:v>
                </c:pt>
              </c:strCache>
            </c:strRef>
          </c:cat>
          <c:val>
            <c:numRef>
              <c:f>'Bar chart '!$B$5:$B$11</c:f>
              <c:numCache>
                <c:formatCode>General</c:formatCode>
                <c:ptCount val="6"/>
                <c:pt idx="0">
                  <c:v>5</c:v>
                </c:pt>
                <c:pt idx="1">
                  <c:v>6</c:v>
                </c:pt>
                <c:pt idx="2">
                  <c:v>3</c:v>
                </c:pt>
                <c:pt idx="3">
                  <c:v>4</c:v>
                </c:pt>
                <c:pt idx="4">
                  <c:v>3</c:v>
                </c:pt>
                <c:pt idx="5">
                  <c:v>1</c:v>
                </c:pt>
              </c:numCache>
            </c:numRef>
          </c:val>
          <c:extLst>
            <c:ext xmlns:c16="http://schemas.microsoft.com/office/drawing/2014/chart" uri="{C3380CC4-5D6E-409C-BE32-E72D297353CC}">
              <c16:uniqueId val="{00000000-E3CF-46AA-8954-700518D07664}"/>
            </c:ext>
          </c:extLst>
        </c:ser>
        <c:dLbls>
          <c:dLblPos val="outEnd"/>
          <c:showLegendKey val="0"/>
          <c:showVal val="1"/>
          <c:showCatName val="0"/>
          <c:showSerName val="0"/>
          <c:showPercent val="0"/>
          <c:showBubbleSize val="0"/>
        </c:dLbls>
        <c:gapWidth val="182"/>
        <c:axId val="1175302287"/>
        <c:axId val="1175302767"/>
      </c:barChart>
      <c:catAx>
        <c:axId val="117530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02767"/>
        <c:crosses val="autoZero"/>
        <c:auto val="1"/>
        <c:lblAlgn val="ctr"/>
        <c:lblOffset val="100"/>
        <c:noMultiLvlLbl val="0"/>
      </c:catAx>
      <c:valAx>
        <c:axId val="1175302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[Hospital_Analysis.xlsx]Column chart2!PivotTable2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Total</a:t>
            </a:r>
            <a:r>
              <a:rPr lang="en-IN" sz="1400" b="0" i="0" u="none" strike="noStrike" kern="1200" spc="0" baseline="0">
                <a:solidFill>
                  <a:sysClr val="windowText" lastClr="000000">
                    <a:lumMod val="65000"/>
                    <a:lumOff val="35000"/>
                  </a:sysClr>
                </a:solidFill>
              </a:rPr>
              <a:t>Total Treatment Cost per Doctor</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chart2'!$A$4:$A$10</c:f>
              <c:strCache>
                <c:ptCount val="6"/>
                <c:pt idx="0">
                  <c:v>Dr. Gupta</c:v>
                </c:pt>
                <c:pt idx="1">
                  <c:v>Dr. Mehta</c:v>
                </c:pt>
                <c:pt idx="2">
                  <c:v>Dr. Patel</c:v>
                </c:pt>
                <c:pt idx="3">
                  <c:v>Dr. Shah</c:v>
                </c:pt>
                <c:pt idx="4">
                  <c:v>Dr. Sharma</c:v>
                </c:pt>
                <c:pt idx="5">
                  <c:v>Dr. Singh</c:v>
                </c:pt>
              </c:strCache>
            </c:strRef>
          </c:cat>
          <c:val>
            <c:numRef>
              <c:f>'Column chart2'!$B$4:$B$10</c:f>
              <c:numCache>
                <c:formatCode>General</c:formatCode>
                <c:ptCount val="6"/>
                <c:pt idx="0">
                  <c:v>39768</c:v>
                </c:pt>
                <c:pt idx="1">
                  <c:v>220517</c:v>
                </c:pt>
                <c:pt idx="2">
                  <c:v>460203</c:v>
                </c:pt>
                <c:pt idx="3">
                  <c:v>113784</c:v>
                </c:pt>
                <c:pt idx="4">
                  <c:v>104049</c:v>
                </c:pt>
                <c:pt idx="5">
                  <c:v>272402</c:v>
                </c:pt>
              </c:numCache>
            </c:numRef>
          </c:val>
          <c:extLst>
            <c:ext xmlns:c16="http://schemas.microsoft.com/office/drawing/2014/chart" uri="{C3380CC4-5D6E-409C-BE32-E72D297353CC}">
              <c16:uniqueId val="{00000000-0952-4901-A116-43C0D61D9391}"/>
            </c:ext>
          </c:extLst>
        </c:ser>
        <c:dLbls>
          <c:dLblPos val="outEnd"/>
          <c:showLegendKey val="0"/>
          <c:showVal val="1"/>
          <c:showCatName val="0"/>
          <c:showSerName val="0"/>
          <c:showPercent val="0"/>
          <c:showBubbleSize val="0"/>
        </c:dLbls>
        <c:gapWidth val="219"/>
        <c:axId val="1734254015"/>
        <c:axId val="1734255455"/>
      </c:barChart>
      <c:catAx>
        <c:axId val="173425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255455"/>
        <c:crosses val="autoZero"/>
        <c:auto val="1"/>
        <c:lblAlgn val="ctr"/>
        <c:lblOffset val="100"/>
        <c:noMultiLvlLbl val="0"/>
      </c:catAx>
      <c:valAx>
        <c:axId val="1734255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25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[Hospital_Analysis.xlsx]Column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Monthly Total Treatment_cost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1"/>
            </a:solidFill>
            <a:ln>
              <a:noFill/>
            </a:ln>
            <a:effectLst/>
          </c:spPr>
          <c:invertIfNegative val="0"/>
          <c:cat>
            <c:multiLvlStrRef>
              <c:f>'Column chart'!$A$4:$A$16</c:f>
              <c:multiLvlStrCache>
                <c:ptCount val="11"/>
                <c:lvl>
                  <c:pt idx="0">
                    <c:v>Jan</c:v>
                  </c:pt>
                  <c:pt idx="1">
                    <c:v>Mar</c:v>
                  </c:pt>
                  <c:pt idx="2">
                    <c:v>Apr</c:v>
                  </c:pt>
                  <c:pt idx="3">
                    <c:v>May</c:v>
                  </c:pt>
                  <c:pt idx="4">
                    <c:v>Jun</c:v>
                  </c:pt>
                  <c:pt idx="5">
                    <c:v>Jul</c:v>
                  </c:pt>
                  <c:pt idx="6">
                    <c:v>Aug</c:v>
                  </c:pt>
                  <c:pt idx="7">
                    <c:v>Sep</c:v>
                  </c:pt>
                  <c:pt idx="8">
                    <c:v>Oct</c:v>
                  </c:pt>
                  <c:pt idx="9">
                    <c:v>Nov</c:v>
                  </c:pt>
                  <c:pt idx="10">
                    <c:v>Dec</c:v>
                  </c:pt>
                </c:lvl>
                <c:lvl>
                  <c:pt idx="0">
                    <c:v>2024</c:v>
                  </c:pt>
                </c:lvl>
              </c:multiLvlStrCache>
            </c:multiLvlStrRef>
          </c:cat>
          <c:val>
            <c:numRef>
              <c:f>'Column chart'!$B$4:$B$16</c:f>
              <c:numCache>
                <c:formatCode>General</c:formatCode>
                <c:ptCount val="11"/>
                <c:pt idx="0">
                  <c:v>73595</c:v>
                </c:pt>
                <c:pt idx="1">
                  <c:v>247521</c:v>
                </c:pt>
                <c:pt idx="2">
                  <c:v>9859</c:v>
                </c:pt>
                <c:pt idx="3">
                  <c:v>196380</c:v>
                </c:pt>
                <c:pt idx="4">
                  <c:v>108239</c:v>
                </c:pt>
                <c:pt idx="5">
                  <c:v>29909</c:v>
                </c:pt>
                <c:pt idx="6">
                  <c:v>130535</c:v>
                </c:pt>
                <c:pt idx="7">
                  <c:v>34068</c:v>
                </c:pt>
                <c:pt idx="8">
                  <c:v>277307</c:v>
                </c:pt>
                <c:pt idx="9">
                  <c:v>73432</c:v>
                </c:pt>
                <c:pt idx="10">
                  <c:v>29878</c:v>
                </c:pt>
              </c:numCache>
            </c:numRef>
          </c:val>
          <c:extLst>
            <c:ext xmlns:c16="http://schemas.microsoft.com/office/drawing/2014/chart" uri="{C3380CC4-5D6E-409C-BE32-E72D297353CC}">
              <c16:uniqueId val="{00000000-6CA1-4D7A-BD0C-B600659B24A9}"/>
            </c:ext>
          </c:extLst>
        </c:ser>
        <c:dLbls>
          <c:showLegendKey val="0"/>
          <c:showVal val="0"/>
          <c:showCatName val="0"/>
          <c:showSerName val="0"/>
          <c:showPercent val="0"/>
          <c:showBubbleSize val="0"/>
        </c:dLbls>
        <c:gapWidth val="219"/>
        <c:overlap val="-27"/>
        <c:axId val="1734254975"/>
        <c:axId val="1734197055"/>
      </c:barChart>
      <c:catAx>
        <c:axId val="1734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97055"/>
        <c:crosses val="autoZero"/>
        <c:auto val="1"/>
        <c:lblAlgn val="ctr"/>
        <c:lblOffset val="100"/>
        <c:noMultiLvlLbl val="0"/>
      </c:catAx>
      <c:valAx>
        <c:axId val="173419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25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[Hospital_Analysis.xlsx]Pie 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Patient Status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2-4687-BD84-E7290DA11A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2-4687-BD84-E7290DA11A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2-4687-BD84-E7290DA11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Discharged</c:v>
                </c:pt>
                <c:pt idx="1">
                  <c:v>Recovered</c:v>
                </c:pt>
                <c:pt idx="2">
                  <c:v>Under Treatment</c:v>
                </c:pt>
              </c:strCache>
            </c:strRef>
          </c:cat>
          <c:val>
            <c:numRef>
              <c:f>'Pie chart'!$B$4:$B$7</c:f>
              <c:numCache>
                <c:formatCode>General</c:formatCode>
                <c:ptCount val="3"/>
                <c:pt idx="0">
                  <c:v>7</c:v>
                </c:pt>
                <c:pt idx="1">
                  <c:v>9</c:v>
                </c:pt>
                <c:pt idx="2">
                  <c:v>6</c:v>
                </c:pt>
              </c:numCache>
            </c:numRef>
          </c:val>
          <c:extLst>
            <c:ext xmlns:c16="http://schemas.microsoft.com/office/drawing/2014/chart" uri="{C3380CC4-5D6E-409C-BE32-E72D297353CC}">
              <c16:uniqueId val="{00000000-0F3E-450A-A70A-D94B8EF599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[Hospital_Analysis.xlsx]Line chart!PivotTable5</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Monthly Admissions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multiLvlStrRef>
              <c:f>'Line chart'!$A$4:$A$16</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2024</c:v>
                  </c:pt>
                </c:lvl>
              </c:multiLvlStrCache>
            </c:multiLvlStrRef>
          </c:cat>
          <c:val>
            <c:numRef>
              <c:f>'Line chart'!$B$4:$B$16</c:f>
              <c:numCache>
                <c:formatCode>General</c:formatCode>
                <c:ptCount val="11"/>
                <c:pt idx="0">
                  <c:v>1</c:v>
                </c:pt>
                <c:pt idx="1">
                  <c:v>1</c:v>
                </c:pt>
                <c:pt idx="2">
                  <c:v>3</c:v>
                </c:pt>
                <c:pt idx="3">
                  <c:v>2</c:v>
                </c:pt>
                <c:pt idx="4">
                  <c:v>2</c:v>
                </c:pt>
                <c:pt idx="5">
                  <c:v>2</c:v>
                </c:pt>
                <c:pt idx="6">
                  <c:v>1</c:v>
                </c:pt>
                <c:pt idx="7">
                  <c:v>2</c:v>
                </c:pt>
                <c:pt idx="8">
                  <c:v>2</c:v>
                </c:pt>
                <c:pt idx="9">
                  <c:v>3</c:v>
                </c:pt>
                <c:pt idx="10">
                  <c:v>3</c:v>
                </c:pt>
              </c:numCache>
            </c:numRef>
          </c:val>
          <c:smooth val="0"/>
          <c:extLst>
            <c:ext xmlns:c16="http://schemas.microsoft.com/office/drawing/2014/chart" uri="{C3380CC4-5D6E-409C-BE32-E72D297353CC}">
              <c16:uniqueId val="{00000000-D7BF-4861-9604-454F0F82FB2F}"/>
            </c:ext>
          </c:extLst>
        </c:ser>
        <c:dLbls>
          <c:showLegendKey val="0"/>
          <c:showVal val="0"/>
          <c:showCatName val="0"/>
          <c:showSerName val="0"/>
          <c:showPercent val="0"/>
          <c:showBubbleSize val="0"/>
        </c:dLbls>
        <c:smooth val="0"/>
        <c:axId val="1175305167"/>
        <c:axId val="1175305647"/>
      </c:lineChart>
      <c:catAx>
        <c:axId val="117530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05647"/>
        <c:crosses val="autoZero"/>
        <c:auto val="1"/>
        <c:lblAlgn val="ctr"/>
        <c:lblOffset val="100"/>
        <c:noMultiLvlLbl val="0"/>
      </c:catAx>
      <c:valAx>
        <c:axId val="117530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0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[Hospital_Analysis.xlsx]Bar chart2!PivotTable6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Number of Patients per Department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chart2'!$B$3</c:f>
              <c:strCache>
                <c:ptCount val="1"/>
                <c:pt idx="0">
                  <c:v>Total</c:v>
                </c:pt>
              </c:strCache>
            </c:strRef>
          </c:tx>
          <c:spPr>
            <a:solidFill>
              <a:schemeClr val="accent1"/>
            </a:solidFill>
            <a:ln>
              <a:noFill/>
            </a:ln>
            <a:effectLst/>
          </c:spPr>
          <c:invertIfNegative val="0"/>
          <c:cat>
            <c:strRef>
              <c:f>'Bar chart2'!$A$4:$A$10</c:f>
              <c:strCache>
                <c:ptCount val="6"/>
                <c:pt idx="0">
                  <c:v>Cardiology</c:v>
                </c:pt>
                <c:pt idx="1">
                  <c:v>Dermatology</c:v>
                </c:pt>
                <c:pt idx="2">
                  <c:v>General</c:v>
                </c:pt>
                <c:pt idx="3">
                  <c:v>Neurology</c:v>
                </c:pt>
                <c:pt idx="4">
                  <c:v>Orthopedics</c:v>
                </c:pt>
                <c:pt idx="5">
                  <c:v>Pediatrics</c:v>
                </c:pt>
              </c:strCache>
            </c:strRef>
          </c:cat>
          <c:val>
            <c:numRef>
              <c:f>'Bar chart2'!$B$4:$B$10</c:f>
              <c:numCache>
                <c:formatCode>General</c:formatCode>
                <c:ptCount val="6"/>
                <c:pt idx="0">
                  <c:v>5</c:v>
                </c:pt>
                <c:pt idx="1">
                  <c:v>6</c:v>
                </c:pt>
                <c:pt idx="2">
                  <c:v>3</c:v>
                </c:pt>
                <c:pt idx="3">
                  <c:v>4</c:v>
                </c:pt>
                <c:pt idx="4">
                  <c:v>3</c:v>
                </c:pt>
                <c:pt idx="5">
                  <c:v>1</c:v>
                </c:pt>
              </c:numCache>
            </c:numRef>
          </c:val>
          <c:extLst>
            <c:ext xmlns:c16="http://schemas.microsoft.com/office/drawing/2014/chart" uri="{C3380CC4-5D6E-409C-BE32-E72D297353CC}">
              <c16:uniqueId val="{00000000-AACD-417F-9DEF-04F40D4C0BF8}"/>
            </c:ext>
          </c:extLst>
        </c:ser>
        <c:dLbls>
          <c:showLegendKey val="0"/>
          <c:showVal val="0"/>
          <c:showCatName val="0"/>
          <c:showSerName val="0"/>
          <c:showPercent val="0"/>
          <c:showBubbleSize val="0"/>
        </c:dLbls>
        <c:gapWidth val="219"/>
        <c:overlap val="-27"/>
        <c:axId val="1785608015"/>
        <c:axId val="1785609455"/>
      </c:barChart>
      <c:catAx>
        <c:axId val="178560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09455"/>
        <c:crosses val="autoZero"/>
        <c:auto val="1"/>
        <c:lblAlgn val="ctr"/>
        <c:lblOffset val="100"/>
        <c:noMultiLvlLbl val="0"/>
      </c:catAx>
      <c:valAx>
        <c:axId val="17856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0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68131</xdr:colOff>
      <xdr:row>0</xdr:row>
      <xdr:rowOff>60042</xdr:rowOff>
    </xdr:from>
    <xdr:to>
      <xdr:col>3</xdr:col>
      <xdr:colOff>125605</xdr:colOff>
      <xdr:row>2</xdr:row>
      <xdr:rowOff>102145</xdr:rowOff>
    </xdr:to>
    <xdr:sp macro="" textlink="">
      <xdr:nvSpPr>
        <xdr:cNvPr id="2" name="Rectangle: Rounded Corners 1">
          <a:extLst>
            <a:ext uri="{FF2B5EF4-FFF2-40B4-BE49-F238E27FC236}">
              <a16:creationId xmlns:a16="http://schemas.microsoft.com/office/drawing/2014/main" id="{081A12CE-A7CC-4F7E-B65E-280EF6D110E9}"/>
            </a:ext>
          </a:extLst>
        </xdr:cNvPr>
        <xdr:cNvSpPr/>
      </xdr:nvSpPr>
      <xdr:spPr>
        <a:xfrm>
          <a:off x="68131" y="60042"/>
          <a:ext cx="1891298" cy="41054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92111</xdr:colOff>
      <xdr:row>24</xdr:row>
      <xdr:rowOff>178936</xdr:rowOff>
    </xdr:from>
    <xdr:to>
      <xdr:col>3</xdr:col>
      <xdr:colOff>200968</xdr:colOff>
      <xdr:row>29</xdr:row>
      <xdr:rowOff>83736</xdr:rowOff>
    </xdr:to>
    <xdr:sp macro="" textlink="">
      <xdr:nvSpPr>
        <xdr:cNvPr id="3" name="Rectangle: Rounded Corners 2">
          <a:extLst>
            <a:ext uri="{FF2B5EF4-FFF2-40B4-BE49-F238E27FC236}">
              <a16:creationId xmlns:a16="http://schemas.microsoft.com/office/drawing/2014/main" id="{27E0C06D-CF9C-4464-855C-8543FAD8DB52}"/>
            </a:ext>
          </a:extLst>
        </xdr:cNvPr>
        <xdr:cNvSpPr/>
      </xdr:nvSpPr>
      <xdr:spPr>
        <a:xfrm>
          <a:off x="92111" y="4600211"/>
          <a:ext cx="1942681" cy="825899"/>
        </a:xfrm>
        <a:prstGeom prst="roundRect">
          <a:avLst>
            <a:gd name="adj" fmla="val 16667"/>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254655</xdr:colOff>
      <xdr:row>0</xdr:row>
      <xdr:rowOff>0</xdr:rowOff>
    </xdr:from>
    <xdr:to>
      <xdr:col>7</xdr:col>
      <xdr:colOff>117231</xdr:colOff>
      <xdr:row>12</xdr:row>
      <xdr:rowOff>125605</xdr:rowOff>
    </xdr:to>
    <xdr:sp macro="" textlink="">
      <xdr:nvSpPr>
        <xdr:cNvPr id="5" name="Rectangle: Rounded Corners 4">
          <a:extLst>
            <a:ext uri="{FF2B5EF4-FFF2-40B4-BE49-F238E27FC236}">
              <a16:creationId xmlns:a16="http://schemas.microsoft.com/office/drawing/2014/main" id="{ED1ABBA1-FE0C-4095-900F-25FB9F52D5C1}"/>
            </a:ext>
          </a:extLst>
        </xdr:cNvPr>
        <xdr:cNvSpPr/>
      </xdr:nvSpPr>
      <xdr:spPr>
        <a:xfrm>
          <a:off x="2088479" y="0"/>
          <a:ext cx="2307675" cy="2336242"/>
        </a:xfrm>
        <a:prstGeom prst="roundRect">
          <a:avLst>
            <a:gd name="adj" fmla="val 949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508989</xdr:colOff>
      <xdr:row>0</xdr:row>
      <xdr:rowOff>53177</xdr:rowOff>
    </xdr:from>
    <xdr:to>
      <xdr:col>24</xdr:col>
      <xdr:colOff>446826</xdr:colOff>
      <xdr:row>5</xdr:row>
      <xdr:rowOff>108858</xdr:rowOff>
    </xdr:to>
    <xdr:sp macro="" textlink="">
      <xdr:nvSpPr>
        <xdr:cNvPr id="6" name="Rectangle: Rounded Corners 5">
          <a:extLst>
            <a:ext uri="{FF2B5EF4-FFF2-40B4-BE49-F238E27FC236}">
              <a16:creationId xmlns:a16="http://schemas.microsoft.com/office/drawing/2014/main" id="{F6CB69A1-C709-4B44-BA1B-FBDAE8D14F04}"/>
            </a:ext>
          </a:extLst>
        </xdr:cNvPr>
        <xdr:cNvSpPr/>
      </xdr:nvSpPr>
      <xdr:spPr>
        <a:xfrm>
          <a:off x="12123209" y="53177"/>
          <a:ext cx="2994210" cy="97678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510791</xdr:colOff>
      <xdr:row>0</xdr:row>
      <xdr:rowOff>41869</xdr:rowOff>
    </xdr:from>
    <xdr:to>
      <xdr:col>19</xdr:col>
      <xdr:colOff>460549</xdr:colOff>
      <xdr:row>12</xdr:row>
      <xdr:rowOff>92110</xdr:rowOff>
    </xdr:to>
    <xdr:sp macro="" textlink="">
      <xdr:nvSpPr>
        <xdr:cNvPr id="7" name="Rectangle: Rounded Corners 6">
          <a:extLst>
            <a:ext uri="{FF2B5EF4-FFF2-40B4-BE49-F238E27FC236}">
              <a16:creationId xmlns:a16="http://schemas.microsoft.com/office/drawing/2014/main" id="{2A381D5A-E8C0-44D9-9E5B-18DF432490A5}"/>
            </a:ext>
          </a:extLst>
        </xdr:cNvPr>
        <xdr:cNvSpPr/>
      </xdr:nvSpPr>
      <xdr:spPr>
        <a:xfrm>
          <a:off x="7846088" y="41869"/>
          <a:ext cx="4228681" cy="2260878"/>
        </a:xfrm>
        <a:prstGeom prst="roundRect">
          <a:avLst>
            <a:gd name="adj" fmla="val 9554"/>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304975</xdr:colOff>
      <xdr:row>12</xdr:row>
      <xdr:rowOff>150726</xdr:rowOff>
    </xdr:from>
    <xdr:to>
      <xdr:col>19</xdr:col>
      <xdr:colOff>475895</xdr:colOff>
      <xdr:row>29</xdr:row>
      <xdr:rowOff>89251</xdr:rowOff>
    </xdr:to>
    <xdr:sp macro="" textlink="">
      <xdr:nvSpPr>
        <xdr:cNvPr id="8" name="Rectangle: Rounded Corners 7">
          <a:extLst>
            <a:ext uri="{FF2B5EF4-FFF2-40B4-BE49-F238E27FC236}">
              <a16:creationId xmlns:a16="http://schemas.microsoft.com/office/drawing/2014/main" id="{578B3BE7-1031-4784-A100-5C085EDC5A3A}"/>
            </a:ext>
          </a:extLst>
        </xdr:cNvPr>
        <xdr:cNvSpPr/>
      </xdr:nvSpPr>
      <xdr:spPr>
        <a:xfrm>
          <a:off x="8862821" y="2361363"/>
          <a:ext cx="3227294" cy="3070262"/>
        </a:xfrm>
        <a:prstGeom prst="roundRect">
          <a:avLst>
            <a:gd name="adj" fmla="val 5914"/>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8</xdr:col>
      <xdr:colOff>579526</xdr:colOff>
      <xdr:row>12</xdr:row>
      <xdr:rowOff>159100</xdr:rowOff>
    </xdr:from>
    <xdr:to>
      <xdr:col>14</xdr:col>
      <xdr:colOff>219854</xdr:colOff>
      <xdr:row>29</xdr:row>
      <xdr:rowOff>112896</xdr:rowOff>
    </xdr:to>
    <xdr:sp macro="" textlink="">
      <xdr:nvSpPr>
        <xdr:cNvPr id="9" name="Rectangle: Rounded Corners 8">
          <a:extLst>
            <a:ext uri="{FF2B5EF4-FFF2-40B4-BE49-F238E27FC236}">
              <a16:creationId xmlns:a16="http://schemas.microsoft.com/office/drawing/2014/main" id="{296C69E2-1354-45AA-941A-57CF34136250}"/>
            </a:ext>
          </a:extLst>
        </xdr:cNvPr>
        <xdr:cNvSpPr/>
      </xdr:nvSpPr>
      <xdr:spPr>
        <a:xfrm>
          <a:off x="5469724" y="2369737"/>
          <a:ext cx="3307976" cy="3085533"/>
        </a:xfrm>
        <a:prstGeom prst="roundRect">
          <a:avLst>
            <a:gd name="adj" fmla="val 10017"/>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180393</xdr:colOff>
      <xdr:row>0</xdr:row>
      <xdr:rowOff>51383</xdr:rowOff>
    </xdr:from>
    <xdr:to>
      <xdr:col>12</xdr:col>
      <xdr:colOff>442591</xdr:colOff>
      <xdr:row>12</xdr:row>
      <xdr:rowOff>92109</xdr:rowOff>
    </xdr:to>
    <xdr:sp macro="" textlink="">
      <xdr:nvSpPr>
        <xdr:cNvPr id="11" name="Rectangle: Rounded Corners 10">
          <a:extLst>
            <a:ext uri="{FF2B5EF4-FFF2-40B4-BE49-F238E27FC236}">
              <a16:creationId xmlns:a16="http://schemas.microsoft.com/office/drawing/2014/main" id="{87A778A6-3150-4821-8308-161DFF6FDFA1}"/>
            </a:ext>
          </a:extLst>
        </xdr:cNvPr>
        <xdr:cNvSpPr/>
      </xdr:nvSpPr>
      <xdr:spPr>
        <a:xfrm>
          <a:off x="4459316" y="51383"/>
          <a:ext cx="3318572" cy="2251363"/>
        </a:xfrm>
        <a:prstGeom prst="roundRect">
          <a:avLst>
            <a:gd name="adj" fmla="val 11426"/>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303097</xdr:colOff>
      <xdr:row>1</xdr:row>
      <xdr:rowOff>21663</xdr:rowOff>
    </xdr:from>
    <xdr:to>
      <xdr:col>20</xdr:col>
      <xdr:colOff>165866</xdr:colOff>
      <xdr:row>11</xdr:row>
      <xdr:rowOff>89253</xdr:rowOff>
    </xdr:to>
    <xdr:graphicFrame macro="">
      <xdr:nvGraphicFramePr>
        <xdr:cNvPr id="21" name="Chart 20">
          <a:extLst>
            <a:ext uri="{FF2B5EF4-FFF2-40B4-BE49-F238E27FC236}">
              <a16:creationId xmlns:a16="http://schemas.microsoft.com/office/drawing/2014/main" id="{C04658EB-2EE3-401A-B299-F8C63F117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15340</xdr:colOff>
      <xdr:row>0</xdr:row>
      <xdr:rowOff>57236</xdr:rowOff>
    </xdr:from>
    <xdr:to>
      <xdr:col>24</xdr:col>
      <xdr:colOff>421018</xdr:colOff>
      <xdr:row>4</xdr:row>
      <xdr:rowOff>154074</xdr:rowOff>
    </xdr:to>
    <xdr:sp macro="" textlink="'Column chart2'!B12">
      <xdr:nvSpPr>
        <xdr:cNvPr id="23" name="TextBox 22">
          <a:extLst>
            <a:ext uri="{FF2B5EF4-FFF2-40B4-BE49-F238E27FC236}">
              <a16:creationId xmlns:a16="http://schemas.microsoft.com/office/drawing/2014/main" id="{B10E606F-971B-459C-8941-B36D774D5D6C}"/>
            </a:ext>
          </a:extLst>
        </xdr:cNvPr>
        <xdr:cNvSpPr txBox="1"/>
      </xdr:nvSpPr>
      <xdr:spPr>
        <a:xfrm>
          <a:off x="12240835" y="57236"/>
          <a:ext cx="2850776" cy="833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CC3CCF-FDD4-4956-AB31-67BE40C15CBD}" type="TxLink">
            <a:rPr lang="en-US" sz="2800" b="1" i="0" u="none" strike="noStrike">
              <a:solidFill>
                <a:schemeClr val="bg1"/>
              </a:solidFill>
              <a:latin typeface="Calibri"/>
              <a:ea typeface="Calibri"/>
              <a:cs typeface="Calibri"/>
            </a:rPr>
            <a:pPr algn="ctr"/>
            <a:t> ₹ 1,210,723.00 </a:t>
          </a:fld>
          <a:endParaRPr lang="en-IN" sz="1000" b="1">
            <a:solidFill>
              <a:schemeClr val="bg1"/>
            </a:solidFill>
          </a:endParaRPr>
        </a:p>
      </xdr:txBody>
    </xdr:sp>
    <xdr:clientData/>
  </xdr:twoCellAnchor>
  <xdr:twoCellAnchor>
    <xdr:from>
      <xdr:col>20</xdr:col>
      <xdr:colOff>8373</xdr:colOff>
      <xdr:row>2</xdr:row>
      <xdr:rowOff>176436</xdr:rowOff>
    </xdr:from>
    <xdr:to>
      <xdr:col>24</xdr:col>
      <xdr:colOff>376814</xdr:colOff>
      <xdr:row>5</xdr:row>
      <xdr:rowOff>0</xdr:rowOff>
    </xdr:to>
    <xdr:sp macro="" textlink="">
      <xdr:nvSpPr>
        <xdr:cNvPr id="26" name="TextBox 25">
          <a:extLst>
            <a:ext uri="{FF2B5EF4-FFF2-40B4-BE49-F238E27FC236}">
              <a16:creationId xmlns:a16="http://schemas.microsoft.com/office/drawing/2014/main" id="{155B9A48-7B71-4385-B41F-F10CBA32C068}"/>
            </a:ext>
          </a:extLst>
        </xdr:cNvPr>
        <xdr:cNvSpPr txBox="1"/>
      </xdr:nvSpPr>
      <xdr:spPr>
        <a:xfrm>
          <a:off x="12233868" y="544876"/>
          <a:ext cx="2813539" cy="37622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cap="none" spc="0">
              <a:ln w="9525">
                <a:solidFill>
                  <a:schemeClr val="bg1"/>
                </a:solidFill>
                <a:prstDash val="solid"/>
              </a:ln>
              <a:solidFill>
                <a:schemeClr val="accent2"/>
              </a:solidFill>
              <a:effectLst>
                <a:outerShdw blurRad="12700" dist="38100" dir="2700000" algn="tl" rotWithShape="0">
                  <a:schemeClr val="bg1">
                    <a:lumMod val="50000"/>
                  </a:schemeClr>
                </a:outerShdw>
              </a:effectLst>
              <a:latin typeface="+mn-lt"/>
              <a:ea typeface="+mn-ea"/>
              <a:cs typeface="+mn-cs"/>
            </a:rPr>
            <a:t>Total</a:t>
          </a:r>
          <a:r>
            <a:rPr lang="en-IN" sz="2000" b="1">
              <a:solidFill>
                <a:srgbClr val="7030A0"/>
              </a:solidFill>
            </a:rPr>
            <a:t> </a:t>
          </a:r>
          <a:r>
            <a:rPr lang="en-IN" sz="2000" b="1" cap="none" spc="0">
              <a:ln w="9525">
                <a:solidFill>
                  <a:schemeClr val="bg1"/>
                </a:solidFill>
                <a:prstDash val="solid"/>
              </a:ln>
              <a:solidFill>
                <a:schemeClr val="accent2"/>
              </a:solidFill>
              <a:effectLst>
                <a:outerShdw blurRad="12700" dist="38100" dir="2700000" algn="tl" rotWithShape="0">
                  <a:schemeClr val="bg1">
                    <a:lumMod val="50000"/>
                  </a:schemeClr>
                </a:outerShdw>
              </a:effectLst>
              <a:latin typeface="+mn-lt"/>
              <a:ea typeface="+mn-ea"/>
              <a:cs typeface="+mn-cs"/>
            </a:rPr>
            <a:t>Treatment Cost</a:t>
          </a:r>
        </a:p>
      </xdr:txBody>
    </xdr:sp>
    <xdr:clientData/>
  </xdr:twoCellAnchor>
  <xdr:twoCellAnchor>
    <xdr:from>
      <xdr:col>0</xdr:col>
      <xdr:colOff>136610</xdr:colOff>
      <xdr:row>0</xdr:row>
      <xdr:rowOff>80682</xdr:rowOff>
    </xdr:from>
    <xdr:to>
      <xdr:col>3</xdr:col>
      <xdr:colOff>25121</xdr:colOff>
      <xdr:row>2</xdr:row>
      <xdr:rowOff>79795</xdr:rowOff>
    </xdr:to>
    <xdr:sp macro="" textlink="">
      <xdr:nvSpPr>
        <xdr:cNvPr id="27" name="TextBox 26">
          <a:extLst>
            <a:ext uri="{FF2B5EF4-FFF2-40B4-BE49-F238E27FC236}">
              <a16:creationId xmlns:a16="http://schemas.microsoft.com/office/drawing/2014/main" id="{EBC8EF08-90BC-4DC1-9966-1872B78AAC26}"/>
            </a:ext>
          </a:extLst>
        </xdr:cNvPr>
        <xdr:cNvSpPr txBox="1"/>
      </xdr:nvSpPr>
      <xdr:spPr>
        <a:xfrm>
          <a:off x="136610" y="80682"/>
          <a:ext cx="1722335"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Hospital Analysis</a:t>
          </a:r>
        </a:p>
      </xdr:txBody>
    </xdr:sp>
    <xdr:clientData/>
  </xdr:twoCellAnchor>
  <xdr:twoCellAnchor>
    <xdr:from>
      <xdr:col>3</xdr:col>
      <xdr:colOff>263005</xdr:colOff>
      <xdr:row>13</xdr:row>
      <xdr:rowOff>2858</xdr:rowOff>
    </xdr:from>
    <xdr:to>
      <xdr:col>8</xdr:col>
      <xdr:colOff>514607</xdr:colOff>
      <xdr:row>29</xdr:row>
      <xdr:rowOff>100483</xdr:rowOff>
    </xdr:to>
    <xdr:sp macro="" textlink="">
      <xdr:nvSpPr>
        <xdr:cNvPr id="30" name="Rectangle: Rounded Corners 29">
          <a:extLst>
            <a:ext uri="{FF2B5EF4-FFF2-40B4-BE49-F238E27FC236}">
              <a16:creationId xmlns:a16="http://schemas.microsoft.com/office/drawing/2014/main" id="{087AB127-82F8-468A-BAC8-67EDE9DD4CE0}"/>
            </a:ext>
          </a:extLst>
        </xdr:cNvPr>
        <xdr:cNvSpPr/>
      </xdr:nvSpPr>
      <xdr:spPr>
        <a:xfrm>
          <a:off x="2096829" y="2397715"/>
          <a:ext cx="3307976" cy="3045142"/>
        </a:xfrm>
        <a:prstGeom prst="roundRect">
          <a:avLst>
            <a:gd name="adj" fmla="val 849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524362</xdr:colOff>
      <xdr:row>12</xdr:row>
      <xdr:rowOff>33495</xdr:rowOff>
    </xdr:from>
    <xdr:to>
      <xdr:col>24</xdr:col>
      <xdr:colOff>527539</xdr:colOff>
      <xdr:row>29</xdr:row>
      <xdr:rowOff>107675</xdr:rowOff>
    </xdr:to>
    <xdr:sp macro="" textlink="">
      <xdr:nvSpPr>
        <xdr:cNvPr id="31" name="Rectangle: Rounded Corners 30">
          <a:extLst>
            <a:ext uri="{FF2B5EF4-FFF2-40B4-BE49-F238E27FC236}">
              <a16:creationId xmlns:a16="http://schemas.microsoft.com/office/drawing/2014/main" id="{0E8D43D6-D8A8-4585-8050-C525FE9B5D8B}"/>
            </a:ext>
          </a:extLst>
        </xdr:cNvPr>
        <xdr:cNvSpPr/>
      </xdr:nvSpPr>
      <xdr:spPr>
        <a:xfrm>
          <a:off x="12138582" y="2244132"/>
          <a:ext cx="3059550" cy="3205917"/>
        </a:xfrm>
        <a:prstGeom prst="roundRect">
          <a:avLst>
            <a:gd name="adj" fmla="val 4806"/>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47351</xdr:colOff>
      <xdr:row>2</xdr:row>
      <xdr:rowOff>135846</xdr:rowOff>
    </xdr:from>
    <xdr:to>
      <xdr:col>3</xdr:col>
      <xdr:colOff>150725</xdr:colOff>
      <xdr:row>24</xdr:row>
      <xdr:rowOff>133976</xdr:rowOff>
    </xdr:to>
    <xdr:grpSp>
      <xdr:nvGrpSpPr>
        <xdr:cNvPr id="35" name="Group 34">
          <a:extLst>
            <a:ext uri="{FF2B5EF4-FFF2-40B4-BE49-F238E27FC236}">
              <a16:creationId xmlns:a16="http://schemas.microsoft.com/office/drawing/2014/main" id="{ED190CF5-6DBB-6BC2-B5B1-7E2A648EBB4F}"/>
            </a:ext>
          </a:extLst>
        </xdr:cNvPr>
        <xdr:cNvGrpSpPr/>
      </xdr:nvGrpSpPr>
      <xdr:grpSpPr>
        <a:xfrm>
          <a:off x="47351" y="504286"/>
          <a:ext cx="1937198" cy="4050965"/>
          <a:chOff x="38977" y="1417012"/>
          <a:chExt cx="1937198" cy="4050965"/>
        </a:xfrm>
      </xdr:grpSpPr>
      <xdr:sp macro="" textlink="">
        <xdr:nvSpPr>
          <xdr:cNvPr id="4" name="Rectangle: Rounded Corners 3">
            <a:extLst>
              <a:ext uri="{FF2B5EF4-FFF2-40B4-BE49-F238E27FC236}">
                <a16:creationId xmlns:a16="http://schemas.microsoft.com/office/drawing/2014/main" id="{9494A2D7-E41C-4C6C-BC2C-D9D62429C89B}"/>
              </a:ext>
            </a:extLst>
          </xdr:cNvPr>
          <xdr:cNvSpPr/>
        </xdr:nvSpPr>
        <xdr:spPr>
          <a:xfrm>
            <a:off x="38977" y="1417012"/>
            <a:ext cx="1937198" cy="4050965"/>
          </a:xfrm>
          <a:prstGeom prst="roundRect">
            <a:avLst>
              <a:gd name="adj" fmla="val 11791"/>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2" name="D_Year 1">
                <a:extLst>
                  <a:ext uri="{FF2B5EF4-FFF2-40B4-BE49-F238E27FC236}">
                    <a16:creationId xmlns:a16="http://schemas.microsoft.com/office/drawing/2014/main" id="{39CDADEA-07E2-4210-97AD-01AE594C8657}"/>
                  </a:ext>
                </a:extLst>
              </xdr:cNvPr>
              <xdr:cNvGraphicFramePr/>
            </xdr:nvGraphicFramePr>
            <xdr:xfrm>
              <a:off x="150726" y="1594080"/>
              <a:ext cx="1699847" cy="658426"/>
            </xdr:xfrm>
            <a:graphic>
              <a:graphicData uri="http://schemas.microsoft.com/office/drawing/2010/slicer">
                <sle:slicer xmlns:sle="http://schemas.microsoft.com/office/drawing/2010/slicer" name="D_Year 1"/>
              </a:graphicData>
            </a:graphic>
          </xdr:graphicFrame>
        </mc:Choice>
        <mc:Fallback xmlns="">
          <xdr:sp macro="" textlink="">
            <xdr:nvSpPr>
              <xdr:cNvPr id="0" name=""/>
              <xdr:cNvSpPr>
                <a:spLocks noTextEdit="1"/>
              </xdr:cNvSpPr>
            </xdr:nvSpPr>
            <xdr:spPr>
              <a:xfrm>
                <a:off x="159100" y="681354"/>
                <a:ext cx="1699847" cy="658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A_Month_name 1">
                <a:extLst>
                  <a:ext uri="{FF2B5EF4-FFF2-40B4-BE49-F238E27FC236}">
                    <a16:creationId xmlns:a16="http://schemas.microsoft.com/office/drawing/2014/main" id="{83E3E3DE-7A50-4232-8F50-D5B488D8309D}"/>
                  </a:ext>
                </a:extLst>
              </xdr:cNvPr>
              <xdr:cNvGraphicFramePr/>
            </xdr:nvGraphicFramePr>
            <xdr:xfrm>
              <a:off x="164578" y="2371607"/>
              <a:ext cx="1711114" cy="1488635"/>
            </xdr:xfrm>
            <a:graphic>
              <a:graphicData uri="http://schemas.microsoft.com/office/drawing/2010/slicer">
                <sle:slicer xmlns:sle="http://schemas.microsoft.com/office/drawing/2010/slicer" name="A_Month_name 1"/>
              </a:graphicData>
            </a:graphic>
          </xdr:graphicFrame>
        </mc:Choice>
        <mc:Fallback xmlns="">
          <xdr:sp macro="" textlink="">
            <xdr:nvSpPr>
              <xdr:cNvPr id="0" name=""/>
              <xdr:cNvSpPr>
                <a:spLocks noTextEdit="1"/>
              </xdr:cNvSpPr>
            </xdr:nvSpPr>
            <xdr:spPr>
              <a:xfrm>
                <a:off x="172952" y="1458881"/>
                <a:ext cx="1711114" cy="1488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192594</xdr:colOff>
      <xdr:row>16</xdr:row>
      <xdr:rowOff>70535</xdr:rowOff>
    </xdr:from>
    <xdr:to>
      <xdr:col>3</xdr:col>
      <xdr:colOff>66989</xdr:colOff>
      <xdr:row>24</xdr:row>
      <xdr:rowOff>33495</xdr:rowOff>
    </xdr:to>
    <mc:AlternateContent xmlns:mc="http://schemas.openxmlformats.org/markup-compatibility/2006" xmlns:a14="http://schemas.microsoft.com/office/drawing/2010/main">
      <mc:Choice Requires="a14">
        <xdr:graphicFrame macro="">
          <xdr:nvGraphicFramePr>
            <xdr:cNvPr id="34" name="D_Month_name 1">
              <a:extLst>
                <a:ext uri="{FF2B5EF4-FFF2-40B4-BE49-F238E27FC236}">
                  <a16:creationId xmlns:a16="http://schemas.microsoft.com/office/drawing/2014/main" id="{A627656A-9516-47FB-9742-99DB1811D2B9}"/>
                </a:ext>
              </a:extLst>
            </xdr:cNvPr>
            <xdr:cNvGraphicFramePr/>
          </xdr:nvGraphicFramePr>
          <xdr:xfrm>
            <a:off x="0" y="0"/>
            <a:ext cx="0" cy="0"/>
          </xdr:xfrm>
          <a:graphic>
            <a:graphicData uri="http://schemas.microsoft.com/office/drawing/2010/slicer">
              <sle:slicer xmlns:sle="http://schemas.microsoft.com/office/drawing/2010/slicer" name="D_Month_name 1"/>
            </a:graphicData>
          </a:graphic>
        </xdr:graphicFrame>
      </mc:Choice>
      <mc:Fallback xmlns="">
        <xdr:sp macro="" textlink="">
          <xdr:nvSpPr>
            <xdr:cNvPr id="0" name=""/>
            <xdr:cNvSpPr>
              <a:spLocks noTextEdit="1"/>
            </xdr:cNvSpPr>
          </xdr:nvSpPr>
          <xdr:spPr>
            <a:xfrm>
              <a:off x="192594" y="3018051"/>
              <a:ext cx="1708219" cy="1436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184220</xdr:colOff>
      <xdr:row>25</xdr:row>
      <xdr:rowOff>70080</xdr:rowOff>
    </xdr:from>
    <xdr:to>
      <xdr:col>3</xdr:col>
      <xdr:colOff>92111</xdr:colOff>
      <xdr:row>29</xdr:row>
      <xdr:rowOff>25121</xdr:rowOff>
    </xdr:to>
    <mc:AlternateContent xmlns:mc="http://schemas.openxmlformats.org/markup-compatibility/2006" xmlns:a14="http://schemas.microsoft.com/office/drawing/2010/main">
      <mc:Choice Requires="a14">
        <xdr:graphicFrame macro="">
          <xdr:nvGraphicFramePr>
            <xdr:cNvPr id="36" name="Gender 1">
              <a:extLst>
                <a:ext uri="{FF2B5EF4-FFF2-40B4-BE49-F238E27FC236}">
                  <a16:creationId xmlns:a16="http://schemas.microsoft.com/office/drawing/2014/main" id="{EEE3FC72-2122-4AD2-BEB5-CF9DB0F1C84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4220" y="4675575"/>
              <a:ext cx="1741715" cy="691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438851</xdr:colOff>
      <xdr:row>0</xdr:row>
      <xdr:rowOff>61473</xdr:rowOff>
    </xdr:from>
    <xdr:to>
      <xdr:col>6</xdr:col>
      <xdr:colOff>433827</xdr:colOff>
      <xdr:row>12</xdr:row>
      <xdr:rowOff>50242</xdr:rowOff>
    </xdr:to>
    <mc:AlternateContent xmlns:mc="http://schemas.openxmlformats.org/markup-compatibility/2006" xmlns:a14="http://schemas.microsoft.com/office/drawing/2010/main">
      <mc:Choice Requires="a14">
        <xdr:graphicFrame macro="">
          <xdr:nvGraphicFramePr>
            <xdr:cNvPr id="37" name="City 1">
              <a:extLst>
                <a:ext uri="{FF2B5EF4-FFF2-40B4-BE49-F238E27FC236}">
                  <a16:creationId xmlns:a16="http://schemas.microsoft.com/office/drawing/2014/main" id="{0F5AC52A-3F40-4799-A407-5A534F1D267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272675" y="61473"/>
              <a:ext cx="1828800" cy="2199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401934</xdr:colOff>
      <xdr:row>15</xdr:row>
      <xdr:rowOff>0</xdr:rowOff>
    </xdr:from>
    <xdr:to>
      <xdr:col>8</xdr:col>
      <xdr:colOff>427054</xdr:colOff>
      <xdr:row>28</xdr:row>
      <xdr:rowOff>125112</xdr:rowOff>
    </xdr:to>
    <xdr:graphicFrame macro="">
      <xdr:nvGraphicFramePr>
        <xdr:cNvPr id="38" name="Chart 37">
          <a:extLst>
            <a:ext uri="{FF2B5EF4-FFF2-40B4-BE49-F238E27FC236}">
              <a16:creationId xmlns:a16="http://schemas.microsoft.com/office/drawing/2014/main" id="{5B470CD9-E6B2-488A-8585-9EEDFA2F2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510791</xdr:colOff>
      <xdr:row>5</xdr:row>
      <xdr:rowOff>142353</xdr:rowOff>
    </xdr:from>
    <xdr:to>
      <xdr:col>24</xdr:col>
      <xdr:colOff>490368</xdr:colOff>
      <xdr:row>12</xdr:row>
      <xdr:rowOff>0</xdr:rowOff>
    </xdr:to>
    <xdr:sp macro="" textlink="">
      <xdr:nvSpPr>
        <xdr:cNvPr id="39" name="Rectangle: Rounded Corners 38">
          <a:extLst>
            <a:ext uri="{FF2B5EF4-FFF2-40B4-BE49-F238E27FC236}">
              <a16:creationId xmlns:a16="http://schemas.microsoft.com/office/drawing/2014/main" id="{46C981F2-5E92-4789-A389-5BB76F5DCD58}"/>
            </a:ext>
          </a:extLst>
        </xdr:cNvPr>
        <xdr:cNvSpPr/>
      </xdr:nvSpPr>
      <xdr:spPr>
        <a:xfrm>
          <a:off x="12125011" y="1063452"/>
          <a:ext cx="3035950" cy="114718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66989</xdr:colOff>
      <xdr:row>14</xdr:row>
      <xdr:rowOff>41868</xdr:rowOff>
    </xdr:from>
    <xdr:to>
      <xdr:col>24</xdr:col>
      <xdr:colOff>569407</xdr:colOff>
      <xdr:row>28</xdr:row>
      <xdr:rowOff>159098</xdr:rowOff>
    </xdr:to>
    <xdr:graphicFrame macro="">
      <xdr:nvGraphicFramePr>
        <xdr:cNvPr id="40" name="Chart 39">
          <a:extLst>
            <a:ext uri="{FF2B5EF4-FFF2-40B4-BE49-F238E27FC236}">
              <a16:creationId xmlns:a16="http://schemas.microsoft.com/office/drawing/2014/main" id="{E37B5B6C-B007-41AE-9252-8EF821855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410307</xdr:colOff>
      <xdr:row>14</xdr:row>
      <xdr:rowOff>167472</xdr:rowOff>
    </xdr:from>
    <xdr:to>
      <xdr:col>19</xdr:col>
      <xdr:colOff>519164</xdr:colOff>
      <xdr:row>28</xdr:row>
      <xdr:rowOff>130629</xdr:rowOff>
    </xdr:to>
    <xdr:graphicFrame macro="">
      <xdr:nvGraphicFramePr>
        <xdr:cNvPr id="41" name="Chart 40">
          <a:extLst>
            <a:ext uri="{FF2B5EF4-FFF2-40B4-BE49-F238E27FC236}">
              <a16:creationId xmlns:a16="http://schemas.microsoft.com/office/drawing/2014/main" id="{92FED0F1-5023-4BE2-BDC6-1187E74C4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60362</xdr:colOff>
      <xdr:row>14</xdr:row>
      <xdr:rowOff>133978</xdr:rowOff>
    </xdr:from>
    <xdr:to>
      <xdr:col>14</xdr:col>
      <xdr:colOff>92111</xdr:colOff>
      <xdr:row>28</xdr:row>
      <xdr:rowOff>130629</xdr:rowOff>
    </xdr:to>
    <xdr:graphicFrame macro="">
      <xdr:nvGraphicFramePr>
        <xdr:cNvPr id="42" name="Chart 41">
          <a:extLst>
            <a:ext uri="{FF2B5EF4-FFF2-40B4-BE49-F238E27FC236}">
              <a16:creationId xmlns:a16="http://schemas.microsoft.com/office/drawing/2014/main" id="{F51B9AA2-D61C-41C8-B734-D1BB3D5C6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83736</xdr:colOff>
      <xdr:row>1</xdr:row>
      <xdr:rowOff>117231</xdr:rowOff>
    </xdr:from>
    <xdr:to>
      <xdr:col>12</xdr:col>
      <xdr:colOff>393560</xdr:colOff>
      <xdr:row>11</xdr:row>
      <xdr:rowOff>175846</xdr:rowOff>
    </xdr:to>
    <xdr:graphicFrame macro="">
      <xdr:nvGraphicFramePr>
        <xdr:cNvPr id="43" name="Chart 42">
          <a:extLst>
            <a:ext uri="{FF2B5EF4-FFF2-40B4-BE49-F238E27FC236}">
              <a16:creationId xmlns:a16="http://schemas.microsoft.com/office/drawing/2014/main" id="{CD423601-E113-45D3-9D0D-237E0FCD4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92111</xdr:colOff>
      <xdr:row>2</xdr:row>
      <xdr:rowOff>50241</xdr:rowOff>
    </xdr:from>
    <xdr:to>
      <xdr:col>19</xdr:col>
      <xdr:colOff>284703</xdr:colOff>
      <xdr:row>12</xdr:row>
      <xdr:rowOff>117231</xdr:rowOff>
    </xdr:to>
    <xdr:graphicFrame macro="">
      <xdr:nvGraphicFramePr>
        <xdr:cNvPr id="44" name="Chart 43">
          <a:extLst>
            <a:ext uri="{FF2B5EF4-FFF2-40B4-BE49-F238E27FC236}">
              <a16:creationId xmlns:a16="http://schemas.microsoft.com/office/drawing/2014/main" id="{18C7F70D-AA71-4886-BDE2-100ECA197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393560</xdr:colOff>
      <xdr:row>6</xdr:row>
      <xdr:rowOff>25121</xdr:rowOff>
    </xdr:from>
    <xdr:to>
      <xdr:col>24</xdr:col>
      <xdr:colOff>100484</xdr:colOff>
      <xdr:row>9</xdr:row>
      <xdr:rowOff>8374</xdr:rowOff>
    </xdr:to>
    <xdr:sp macro="" textlink="'Line chart'!B19">
      <xdr:nvSpPr>
        <xdr:cNvPr id="45" name="TextBox 44">
          <a:extLst>
            <a:ext uri="{FF2B5EF4-FFF2-40B4-BE49-F238E27FC236}">
              <a16:creationId xmlns:a16="http://schemas.microsoft.com/office/drawing/2014/main" id="{3B425EEA-5D68-9194-0A7C-1E32016AB6F0}"/>
            </a:ext>
          </a:extLst>
        </xdr:cNvPr>
        <xdr:cNvSpPr txBox="1"/>
      </xdr:nvSpPr>
      <xdr:spPr>
        <a:xfrm>
          <a:off x="12619055" y="1130440"/>
          <a:ext cx="2152022" cy="535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D1778E-52DD-4FCF-B5DB-B5704CC58FF1}" type="TxLink">
            <a:rPr lang="en-US" sz="2800" b="1" i="0" u="none" strike="noStrike">
              <a:solidFill>
                <a:schemeClr val="bg1"/>
              </a:solidFill>
              <a:latin typeface="Calibri"/>
              <a:ea typeface="Calibri"/>
              <a:cs typeface="Calibri"/>
            </a:rPr>
            <a:pPr algn="ctr"/>
            <a:t>22</a:t>
          </a:fld>
          <a:endParaRPr lang="en-IN" sz="1100" b="1">
            <a:solidFill>
              <a:schemeClr val="bg1"/>
            </a:solidFill>
          </a:endParaRPr>
        </a:p>
      </xdr:txBody>
    </xdr:sp>
    <xdr:clientData/>
  </xdr:twoCellAnchor>
  <xdr:twoCellAnchor>
    <xdr:from>
      <xdr:col>20</xdr:col>
      <xdr:colOff>410307</xdr:colOff>
      <xdr:row>9</xdr:row>
      <xdr:rowOff>0</xdr:rowOff>
    </xdr:from>
    <xdr:to>
      <xdr:col>24</xdr:col>
      <xdr:colOff>100484</xdr:colOff>
      <xdr:row>11</xdr:row>
      <xdr:rowOff>16747</xdr:rowOff>
    </xdr:to>
    <xdr:sp macro="" textlink="">
      <xdr:nvSpPr>
        <xdr:cNvPr id="46" name="TextBox 45">
          <a:extLst>
            <a:ext uri="{FF2B5EF4-FFF2-40B4-BE49-F238E27FC236}">
              <a16:creationId xmlns:a16="http://schemas.microsoft.com/office/drawing/2014/main" id="{02C813F1-1FC3-3302-5318-77427EB126ED}"/>
            </a:ext>
          </a:extLst>
        </xdr:cNvPr>
        <xdr:cNvSpPr txBox="1"/>
      </xdr:nvSpPr>
      <xdr:spPr>
        <a:xfrm>
          <a:off x="12635802" y="1657978"/>
          <a:ext cx="2135275" cy="38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cap="none" spc="0">
              <a:ln w="9525">
                <a:solidFill>
                  <a:schemeClr val="bg1"/>
                </a:solidFill>
                <a:prstDash val="solid"/>
              </a:ln>
              <a:solidFill>
                <a:schemeClr val="accent2"/>
              </a:solidFill>
              <a:effectLst>
                <a:outerShdw blurRad="12700" dist="38100" dir="2700000" algn="tl" rotWithShape="0">
                  <a:schemeClr val="bg1">
                    <a:lumMod val="50000"/>
                  </a:schemeClr>
                </a:outerShdw>
              </a:effectLst>
            </a:rPr>
            <a:t>Total Patient</a:t>
          </a:r>
        </a:p>
      </xdr:txBody>
    </xdr:sp>
    <xdr:clientData/>
  </xdr:twoCellAnchor>
  <xdr:twoCellAnchor>
    <xdr:from>
      <xdr:col>3</xdr:col>
      <xdr:colOff>494046</xdr:colOff>
      <xdr:row>13</xdr:row>
      <xdr:rowOff>117233</xdr:rowOff>
    </xdr:from>
    <xdr:to>
      <xdr:col>7</xdr:col>
      <xdr:colOff>443803</xdr:colOff>
      <xdr:row>14</xdr:row>
      <xdr:rowOff>133978</xdr:rowOff>
    </xdr:to>
    <xdr:sp macro="" textlink="">
      <xdr:nvSpPr>
        <xdr:cNvPr id="10" name="TextBox 9">
          <a:extLst>
            <a:ext uri="{FF2B5EF4-FFF2-40B4-BE49-F238E27FC236}">
              <a16:creationId xmlns:a16="http://schemas.microsoft.com/office/drawing/2014/main" id="{B81B733F-BA9A-339C-43F5-905C3DFCB7B4}"/>
            </a:ext>
          </a:extLst>
        </xdr:cNvPr>
        <xdr:cNvSpPr txBox="1"/>
      </xdr:nvSpPr>
      <xdr:spPr>
        <a:xfrm>
          <a:off x="2327870" y="2512090"/>
          <a:ext cx="2394856" cy="200965"/>
        </a:xfrm>
        <a:prstGeom prst="round2Diag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000" b="1" i="0" baseline="0">
              <a:solidFill>
                <a:schemeClr val="dk1"/>
              </a:solidFill>
              <a:effectLst/>
              <a:latin typeface="+mn-lt"/>
              <a:ea typeface="+mn-ea"/>
              <a:cs typeface="+mn-cs"/>
            </a:rPr>
            <a:t>Patients per Department by Gender</a:t>
          </a:r>
          <a:endParaRPr lang="en-IN" sz="1000">
            <a:effectLst/>
          </a:endParaRPr>
        </a:p>
        <a:p>
          <a:endParaRPr lang="en-IN" sz="1100"/>
        </a:p>
      </xdr:txBody>
    </xdr:sp>
    <xdr:clientData/>
  </xdr:twoCellAnchor>
  <xdr:twoCellAnchor>
    <xdr:from>
      <xdr:col>9</xdr:col>
      <xdr:colOff>194270</xdr:colOff>
      <xdr:row>13</xdr:row>
      <xdr:rowOff>68666</xdr:rowOff>
    </xdr:from>
    <xdr:to>
      <xdr:col>13</xdr:col>
      <xdr:colOff>234462</xdr:colOff>
      <xdr:row>14</xdr:row>
      <xdr:rowOff>125604</xdr:rowOff>
    </xdr:to>
    <xdr:sp macro="" textlink="">
      <xdr:nvSpPr>
        <xdr:cNvPr id="12" name="TextBox 11">
          <a:extLst>
            <a:ext uri="{FF2B5EF4-FFF2-40B4-BE49-F238E27FC236}">
              <a16:creationId xmlns:a16="http://schemas.microsoft.com/office/drawing/2014/main" id="{3DD5F38F-A058-4C83-8BA3-6AAFC91D2F12}"/>
            </a:ext>
          </a:extLst>
        </xdr:cNvPr>
        <xdr:cNvSpPr txBox="1"/>
      </xdr:nvSpPr>
      <xdr:spPr>
        <a:xfrm>
          <a:off x="5695743" y="2463523"/>
          <a:ext cx="2485290" cy="241158"/>
        </a:xfrm>
        <a:prstGeom prst="round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en-IN" sz="1100" b="0" i="0" baseline="0">
              <a:solidFill>
                <a:schemeClr val="dk1"/>
              </a:solidFill>
              <a:effectLst/>
              <a:latin typeface="+mn-lt"/>
              <a:ea typeface="+mn-ea"/>
              <a:cs typeface="+mn-cs"/>
            </a:rPr>
            <a:t>Number of Patients per Department</a:t>
          </a:r>
          <a:endParaRPr lang="en-IN" sz="1000">
            <a:effectLst/>
          </a:endParaRPr>
        </a:p>
        <a:p>
          <a:endParaRPr lang="en-IN" sz="1100"/>
        </a:p>
      </xdr:txBody>
    </xdr:sp>
    <xdr:clientData/>
  </xdr:twoCellAnchor>
  <xdr:twoCellAnchor>
    <xdr:from>
      <xdr:col>7</xdr:col>
      <xdr:colOff>346671</xdr:colOff>
      <xdr:row>0</xdr:row>
      <xdr:rowOff>179197</xdr:rowOff>
    </xdr:from>
    <xdr:to>
      <xdr:col>9</xdr:col>
      <xdr:colOff>251208</xdr:colOff>
      <xdr:row>2</xdr:row>
      <xdr:rowOff>25120</xdr:rowOff>
    </xdr:to>
    <xdr:sp macro="" textlink="">
      <xdr:nvSpPr>
        <xdr:cNvPr id="13" name="TextBox 12">
          <a:extLst>
            <a:ext uri="{FF2B5EF4-FFF2-40B4-BE49-F238E27FC236}">
              <a16:creationId xmlns:a16="http://schemas.microsoft.com/office/drawing/2014/main" id="{6A2CDE55-4B1C-4AA9-94C1-5D72FC171925}"/>
            </a:ext>
          </a:extLst>
        </xdr:cNvPr>
        <xdr:cNvSpPr txBox="1"/>
      </xdr:nvSpPr>
      <xdr:spPr>
        <a:xfrm>
          <a:off x="4625594" y="179197"/>
          <a:ext cx="1127087" cy="214363"/>
        </a:xfrm>
        <a:prstGeom prst="round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100" b="0" i="0" baseline="0">
              <a:solidFill>
                <a:schemeClr val="dk1"/>
              </a:solidFill>
              <a:effectLst/>
              <a:latin typeface="+mn-lt"/>
              <a:ea typeface="+mn-ea"/>
              <a:cs typeface="+mn-cs"/>
            </a:rPr>
            <a:t>Patient Status</a:t>
          </a:r>
          <a:endParaRPr lang="en-IN" sz="1000">
            <a:effectLst/>
          </a:endParaRPr>
        </a:p>
        <a:p>
          <a:endParaRPr lang="en-IN" sz="1100"/>
        </a:p>
      </xdr:txBody>
    </xdr:sp>
    <xdr:clientData/>
  </xdr:twoCellAnchor>
  <xdr:twoCellAnchor>
    <xdr:from>
      <xdr:col>13</xdr:col>
      <xdr:colOff>120581</xdr:colOff>
      <xdr:row>0</xdr:row>
      <xdr:rowOff>170824</xdr:rowOff>
    </xdr:from>
    <xdr:to>
      <xdr:col>16</xdr:col>
      <xdr:colOff>418681</xdr:colOff>
      <xdr:row>2</xdr:row>
      <xdr:rowOff>16747</xdr:rowOff>
    </xdr:to>
    <xdr:sp macro="" textlink="">
      <xdr:nvSpPr>
        <xdr:cNvPr id="14" name="TextBox 13">
          <a:extLst>
            <a:ext uri="{FF2B5EF4-FFF2-40B4-BE49-F238E27FC236}">
              <a16:creationId xmlns:a16="http://schemas.microsoft.com/office/drawing/2014/main" id="{653D14FC-83EE-4AEA-8D9A-107EE6B58E54}"/>
            </a:ext>
          </a:extLst>
        </xdr:cNvPr>
        <xdr:cNvSpPr txBox="1"/>
      </xdr:nvSpPr>
      <xdr:spPr>
        <a:xfrm>
          <a:off x="8067152" y="170824"/>
          <a:ext cx="2131925" cy="214363"/>
        </a:xfrm>
        <a:prstGeom prst="round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0" i="0" baseline="0">
              <a:solidFill>
                <a:schemeClr val="dk1"/>
              </a:solidFill>
              <a:effectLst/>
              <a:latin typeface="+mn-lt"/>
              <a:ea typeface="+mn-ea"/>
              <a:cs typeface="+mn-cs"/>
            </a:rPr>
            <a:t>Monthly Total Treatment_cost </a:t>
          </a:r>
          <a:endParaRPr lang="en-IN" sz="1000">
            <a:effectLst/>
          </a:endParaRPr>
        </a:p>
      </xdr:txBody>
    </xdr:sp>
    <xdr:clientData/>
  </xdr:twoCellAnchor>
  <xdr:twoCellAnchor>
    <xdr:from>
      <xdr:col>14</xdr:col>
      <xdr:colOff>435429</xdr:colOff>
      <xdr:row>13</xdr:row>
      <xdr:rowOff>75363</xdr:rowOff>
    </xdr:from>
    <xdr:to>
      <xdr:col>17</xdr:col>
      <xdr:colOff>50242</xdr:colOff>
      <xdr:row>14</xdr:row>
      <xdr:rowOff>133978</xdr:rowOff>
    </xdr:to>
    <xdr:sp macro="" textlink="">
      <xdr:nvSpPr>
        <xdr:cNvPr id="15" name="TextBox 14">
          <a:extLst>
            <a:ext uri="{FF2B5EF4-FFF2-40B4-BE49-F238E27FC236}">
              <a16:creationId xmlns:a16="http://schemas.microsoft.com/office/drawing/2014/main" id="{99E142E8-2F5A-4C5A-9DFB-3B933024BD37}"/>
            </a:ext>
          </a:extLst>
        </xdr:cNvPr>
        <xdr:cNvSpPr txBox="1"/>
      </xdr:nvSpPr>
      <xdr:spPr>
        <a:xfrm>
          <a:off x="8993275" y="2470220"/>
          <a:ext cx="1448637" cy="242835"/>
        </a:xfrm>
        <a:prstGeom prst="round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0" i="0" baseline="0">
              <a:solidFill>
                <a:schemeClr val="dk1"/>
              </a:solidFill>
              <a:effectLst/>
              <a:latin typeface="+mn-lt"/>
              <a:ea typeface="+mn-ea"/>
              <a:cs typeface="+mn-cs"/>
            </a:rPr>
            <a:t>Monthly Admissions</a:t>
          </a:r>
          <a:endParaRPr lang="en-IN" sz="1000">
            <a:effectLst/>
          </a:endParaRPr>
        </a:p>
        <a:p>
          <a:endParaRPr lang="en-IN" sz="1100"/>
        </a:p>
      </xdr:txBody>
    </xdr:sp>
    <xdr:clientData/>
  </xdr:twoCellAnchor>
  <xdr:twoCellAnchor>
    <xdr:from>
      <xdr:col>20</xdr:col>
      <xdr:colOff>118906</xdr:colOff>
      <xdr:row>12</xdr:row>
      <xdr:rowOff>177521</xdr:rowOff>
    </xdr:from>
    <xdr:to>
      <xdr:col>24</xdr:col>
      <xdr:colOff>318198</xdr:colOff>
      <xdr:row>14</xdr:row>
      <xdr:rowOff>16746</xdr:rowOff>
    </xdr:to>
    <xdr:sp macro="" textlink="">
      <xdr:nvSpPr>
        <xdr:cNvPr id="16" name="TextBox 15">
          <a:extLst>
            <a:ext uri="{FF2B5EF4-FFF2-40B4-BE49-F238E27FC236}">
              <a16:creationId xmlns:a16="http://schemas.microsoft.com/office/drawing/2014/main" id="{36AAF06B-1DF3-4828-8013-F16914A0C029}"/>
            </a:ext>
          </a:extLst>
        </xdr:cNvPr>
        <xdr:cNvSpPr txBox="1"/>
      </xdr:nvSpPr>
      <xdr:spPr>
        <a:xfrm>
          <a:off x="12344401" y="2388158"/>
          <a:ext cx="2644390" cy="207665"/>
        </a:xfrm>
        <a:prstGeom prst="round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Total</a:t>
          </a:r>
          <a:r>
            <a:rPr lang="en-IN" sz="1100" b="0" i="0" baseline="0">
              <a:solidFill>
                <a:schemeClr val="dk1"/>
              </a:solidFill>
              <a:effectLst/>
              <a:latin typeface="+mn-lt"/>
              <a:ea typeface="+mn-ea"/>
              <a:cs typeface="+mn-cs"/>
            </a:rPr>
            <a:t>Total Treatment Cost per Doctor</a:t>
          </a:r>
          <a:endParaRPr lang="en-IN" sz="1000">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IN" sz="1000" b="1" i="0" baseline="0">
              <a:solidFill>
                <a:schemeClr val="dk1"/>
              </a:solidFill>
              <a:effectLst/>
              <a:latin typeface="+mn-lt"/>
              <a:ea typeface="+mn-ea"/>
              <a:cs typeface="+mn-cs"/>
            </a:rPr>
            <a:t> Gender</a:t>
          </a:r>
          <a:endParaRPr lang="en-IN" sz="1000">
            <a:effectLst/>
          </a:endParaRP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163830</xdr:rowOff>
    </xdr:from>
    <xdr:to>
      <xdr:col>12</xdr:col>
      <xdr:colOff>304800</xdr:colOff>
      <xdr:row>16</xdr:row>
      <xdr:rowOff>163830</xdr:rowOff>
    </xdr:to>
    <xdr:graphicFrame macro="">
      <xdr:nvGraphicFramePr>
        <xdr:cNvPr id="2" name="Chart 1">
          <a:extLst>
            <a:ext uri="{FF2B5EF4-FFF2-40B4-BE49-F238E27FC236}">
              <a16:creationId xmlns:a16="http://schemas.microsoft.com/office/drawing/2014/main" id="{D899A6C3-142A-FDD2-C577-B6F4914AD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243840</xdr:colOff>
      <xdr:row>14</xdr:row>
      <xdr:rowOff>15241</xdr:rowOff>
    </xdr:from>
    <xdr:to>
      <xdr:col>21</xdr:col>
      <xdr:colOff>243840</xdr:colOff>
      <xdr:row>19</xdr:row>
      <xdr:rowOff>121921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D935FD5-2D66-20FF-2895-70A818AC60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161520" y="2575561"/>
              <a:ext cx="18288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205740</xdr:colOff>
      <xdr:row>0</xdr:row>
      <xdr:rowOff>60960</xdr:rowOff>
    </xdr:from>
    <xdr:to>
      <xdr:col>21</xdr:col>
      <xdr:colOff>205740</xdr:colOff>
      <xdr:row>13</xdr:row>
      <xdr:rowOff>150495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FDF6EDEE-A589-A03E-14E6-662BFEF44AB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123420" y="60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121920</xdr:colOff>
      <xdr:row>0</xdr:row>
      <xdr:rowOff>83821</xdr:rowOff>
    </xdr:from>
    <xdr:to>
      <xdr:col>18</xdr:col>
      <xdr:colOff>121920</xdr:colOff>
      <xdr:row>5</xdr:row>
      <xdr:rowOff>15241</xdr:rowOff>
    </xdr:to>
    <mc:AlternateContent xmlns:mc="http://schemas.openxmlformats.org/markup-compatibility/2006" xmlns:a14="http://schemas.microsoft.com/office/drawing/2010/main">
      <mc:Choice Requires="a14">
        <xdr:graphicFrame macro="">
          <xdr:nvGraphicFramePr>
            <xdr:cNvPr id="5" name="D_Year">
              <a:extLst>
                <a:ext uri="{FF2B5EF4-FFF2-40B4-BE49-F238E27FC236}">
                  <a16:creationId xmlns:a16="http://schemas.microsoft.com/office/drawing/2014/main" id="{D204E3E5-C6A6-B24B-6005-DC482FE20A58}"/>
                </a:ext>
              </a:extLst>
            </xdr:cNvPr>
            <xdr:cNvGraphicFramePr/>
          </xdr:nvGraphicFramePr>
          <xdr:xfrm>
            <a:off x="0" y="0"/>
            <a:ext cx="0" cy="0"/>
          </xdr:xfrm>
          <a:graphic>
            <a:graphicData uri="http://schemas.microsoft.com/office/drawing/2010/slicer">
              <sle:slicer xmlns:sle="http://schemas.microsoft.com/office/drawing/2010/slicer" name="D_Year"/>
            </a:graphicData>
          </a:graphic>
        </xdr:graphicFrame>
      </mc:Choice>
      <mc:Fallback xmlns="">
        <xdr:sp macro="" textlink="">
          <xdr:nvSpPr>
            <xdr:cNvPr id="0" name=""/>
            <xdr:cNvSpPr>
              <a:spLocks noTextEdit="1"/>
            </xdr:cNvSpPr>
          </xdr:nvSpPr>
          <xdr:spPr>
            <a:xfrm>
              <a:off x="10210800" y="83821"/>
              <a:ext cx="182880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129540</xdr:colOff>
      <xdr:row>5</xdr:row>
      <xdr:rowOff>68581</xdr:rowOff>
    </xdr:from>
    <xdr:to>
      <xdr:col>18</xdr:col>
      <xdr:colOff>129540</xdr:colOff>
      <xdr:row>11</xdr:row>
      <xdr:rowOff>160021</xdr:rowOff>
    </xdr:to>
    <mc:AlternateContent xmlns:mc="http://schemas.openxmlformats.org/markup-compatibility/2006" xmlns:a14="http://schemas.microsoft.com/office/drawing/2010/main">
      <mc:Choice Requires="a14">
        <xdr:graphicFrame macro="">
          <xdr:nvGraphicFramePr>
            <xdr:cNvPr id="6" name="D_Month_name">
              <a:extLst>
                <a:ext uri="{FF2B5EF4-FFF2-40B4-BE49-F238E27FC236}">
                  <a16:creationId xmlns:a16="http://schemas.microsoft.com/office/drawing/2014/main" id="{0996DA5C-D0D4-BAAE-710A-5AA95FDEF1FF}"/>
                </a:ext>
              </a:extLst>
            </xdr:cNvPr>
            <xdr:cNvGraphicFramePr/>
          </xdr:nvGraphicFramePr>
          <xdr:xfrm>
            <a:off x="0" y="0"/>
            <a:ext cx="0" cy="0"/>
          </xdr:xfrm>
          <a:graphic>
            <a:graphicData uri="http://schemas.microsoft.com/office/drawing/2010/slicer">
              <sle:slicer xmlns:sle="http://schemas.microsoft.com/office/drawing/2010/slicer" name="D_Month_name"/>
            </a:graphicData>
          </a:graphic>
        </xdr:graphicFrame>
      </mc:Choice>
      <mc:Fallback xmlns="">
        <xdr:sp macro="" textlink="">
          <xdr:nvSpPr>
            <xdr:cNvPr id="0" name=""/>
            <xdr:cNvSpPr>
              <a:spLocks noTextEdit="1"/>
            </xdr:cNvSpPr>
          </xdr:nvSpPr>
          <xdr:spPr>
            <a:xfrm>
              <a:off x="10218420" y="98298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274320</xdr:colOff>
      <xdr:row>19</xdr:row>
      <xdr:rowOff>175261</xdr:rowOff>
    </xdr:from>
    <xdr:to>
      <xdr:col>21</xdr:col>
      <xdr:colOff>274320</xdr:colOff>
      <xdr:row>23</xdr:row>
      <xdr:rowOff>129540</xdr:rowOff>
    </xdr:to>
    <mc:AlternateContent xmlns:mc="http://schemas.openxmlformats.org/markup-compatibility/2006" xmlns:a14="http://schemas.microsoft.com/office/drawing/2010/main">
      <mc:Choice Requires="a14">
        <xdr:graphicFrame macro="">
          <xdr:nvGraphicFramePr>
            <xdr:cNvPr id="7" name="A_Year">
              <a:extLst>
                <a:ext uri="{FF2B5EF4-FFF2-40B4-BE49-F238E27FC236}">
                  <a16:creationId xmlns:a16="http://schemas.microsoft.com/office/drawing/2014/main" id="{6B47DAF7-8F00-93FB-36A8-9F961EB401F7}"/>
                </a:ext>
              </a:extLst>
            </xdr:cNvPr>
            <xdr:cNvGraphicFramePr/>
          </xdr:nvGraphicFramePr>
          <xdr:xfrm>
            <a:off x="0" y="0"/>
            <a:ext cx="0" cy="0"/>
          </xdr:xfrm>
          <a:graphic>
            <a:graphicData uri="http://schemas.microsoft.com/office/drawing/2010/slicer">
              <sle:slicer xmlns:sle="http://schemas.microsoft.com/office/drawing/2010/slicer" name="A_Year"/>
            </a:graphicData>
          </a:graphic>
        </xdr:graphicFrame>
      </mc:Choice>
      <mc:Fallback xmlns="">
        <xdr:sp macro="" textlink="">
          <xdr:nvSpPr>
            <xdr:cNvPr id="0" name=""/>
            <xdr:cNvSpPr>
              <a:spLocks noTextEdit="1"/>
            </xdr:cNvSpPr>
          </xdr:nvSpPr>
          <xdr:spPr>
            <a:xfrm>
              <a:off x="12192000" y="3649981"/>
              <a:ext cx="1828800"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129540</xdr:colOff>
      <xdr:row>12</xdr:row>
      <xdr:rowOff>38101</xdr:rowOff>
    </xdr:from>
    <xdr:to>
      <xdr:col>18</xdr:col>
      <xdr:colOff>129540</xdr:colOff>
      <xdr:row>19</xdr:row>
      <xdr:rowOff>106681</xdr:rowOff>
    </xdr:to>
    <mc:AlternateContent xmlns:mc="http://schemas.openxmlformats.org/markup-compatibility/2006" xmlns:a14="http://schemas.microsoft.com/office/drawing/2010/main">
      <mc:Choice Requires="a14">
        <xdr:graphicFrame macro="">
          <xdr:nvGraphicFramePr>
            <xdr:cNvPr id="8" name="A_Month_name">
              <a:extLst>
                <a:ext uri="{FF2B5EF4-FFF2-40B4-BE49-F238E27FC236}">
                  <a16:creationId xmlns:a16="http://schemas.microsoft.com/office/drawing/2014/main" id="{00D50FD9-3539-4CAB-8B2B-10373C38D284}"/>
                </a:ext>
              </a:extLst>
            </xdr:cNvPr>
            <xdr:cNvGraphicFramePr/>
          </xdr:nvGraphicFramePr>
          <xdr:xfrm>
            <a:off x="0" y="0"/>
            <a:ext cx="0" cy="0"/>
          </xdr:xfrm>
          <a:graphic>
            <a:graphicData uri="http://schemas.microsoft.com/office/drawing/2010/slicer">
              <sle:slicer xmlns:sle="http://schemas.microsoft.com/office/drawing/2010/slicer" name="A_Month_name"/>
            </a:graphicData>
          </a:graphic>
        </xdr:graphicFrame>
      </mc:Choice>
      <mc:Fallback xmlns="">
        <xdr:sp macro="" textlink="">
          <xdr:nvSpPr>
            <xdr:cNvPr id="0" name=""/>
            <xdr:cNvSpPr>
              <a:spLocks noTextEdit="1"/>
            </xdr:cNvSpPr>
          </xdr:nvSpPr>
          <xdr:spPr>
            <a:xfrm>
              <a:off x="10218420" y="223266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76200</xdr:colOff>
      <xdr:row>17</xdr:row>
      <xdr:rowOff>38100</xdr:rowOff>
    </xdr:from>
    <xdr:to>
      <xdr:col>13</xdr:col>
      <xdr:colOff>594360</xdr:colOff>
      <xdr:row>19</xdr:row>
      <xdr:rowOff>137160</xdr:rowOff>
    </xdr:to>
    <xdr:sp macro="" textlink="">
      <xdr:nvSpPr>
        <xdr:cNvPr id="9" name="TextBox 8">
          <a:extLst>
            <a:ext uri="{FF2B5EF4-FFF2-40B4-BE49-F238E27FC236}">
              <a16:creationId xmlns:a16="http://schemas.microsoft.com/office/drawing/2014/main" id="{39FE772C-F75F-3F5A-DF98-C174640B5952}"/>
            </a:ext>
          </a:extLst>
        </xdr:cNvPr>
        <xdr:cNvSpPr txBox="1"/>
      </xdr:nvSpPr>
      <xdr:spPr>
        <a:xfrm>
          <a:off x="4366260" y="3147060"/>
          <a:ext cx="539496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Dermatology is the most visited department (42 patients) and Pediatrics is the least (27 patients) in this 250-record dataset.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1</xdr:row>
      <xdr:rowOff>163830</xdr:rowOff>
    </xdr:from>
    <xdr:to>
      <xdr:col>10</xdr:col>
      <xdr:colOff>297180</xdr:colOff>
      <xdr:row>16</xdr:row>
      <xdr:rowOff>163830</xdr:rowOff>
    </xdr:to>
    <xdr:graphicFrame macro="">
      <xdr:nvGraphicFramePr>
        <xdr:cNvPr id="2" name="Chart 1">
          <a:extLst>
            <a:ext uri="{FF2B5EF4-FFF2-40B4-BE49-F238E27FC236}">
              <a16:creationId xmlns:a16="http://schemas.microsoft.com/office/drawing/2014/main" id="{E8AB0006-738F-E82E-D772-09C10DF97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1</xdr:row>
      <xdr:rowOff>3810</xdr:rowOff>
    </xdr:from>
    <xdr:to>
      <xdr:col>10</xdr:col>
      <xdr:colOff>327660</xdr:colOff>
      <xdr:row>16</xdr:row>
      <xdr:rowOff>3810</xdr:rowOff>
    </xdr:to>
    <xdr:graphicFrame macro="">
      <xdr:nvGraphicFramePr>
        <xdr:cNvPr id="2" name="Chart 1">
          <a:extLst>
            <a:ext uri="{FF2B5EF4-FFF2-40B4-BE49-F238E27FC236}">
              <a16:creationId xmlns:a16="http://schemas.microsoft.com/office/drawing/2014/main" id="{B36BF23F-6681-A968-DC00-A05EFB2C8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16</xdr:row>
      <xdr:rowOff>15240</xdr:rowOff>
    </xdr:from>
    <xdr:to>
      <xdr:col>13</xdr:col>
      <xdr:colOff>297180</xdr:colOff>
      <xdr:row>19</xdr:row>
      <xdr:rowOff>0</xdr:rowOff>
    </xdr:to>
    <xdr:sp macro="" textlink="">
      <xdr:nvSpPr>
        <xdr:cNvPr id="3" name="TextBox 2">
          <a:extLst>
            <a:ext uri="{FF2B5EF4-FFF2-40B4-BE49-F238E27FC236}">
              <a16:creationId xmlns:a16="http://schemas.microsoft.com/office/drawing/2014/main" id="{C82DFD39-DC24-F363-2EB7-82B9C4855B38}"/>
            </a:ext>
          </a:extLst>
        </xdr:cNvPr>
        <xdr:cNvSpPr txBox="1"/>
      </xdr:nvSpPr>
      <xdr:spPr>
        <a:xfrm>
          <a:off x="3177540" y="2941320"/>
          <a:ext cx="635508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Treatment costs peaked in May 2024 (₹1,806,442) and reached their lowest point in April 2024 (₹627,408), showing significant monthly volatility throughout the year.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163830</xdr:rowOff>
    </xdr:from>
    <xdr:to>
      <xdr:col>10</xdr:col>
      <xdr:colOff>304800</xdr:colOff>
      <xdr:row>17</xdr:row>
      <xdr:rowOff>163830</xdr:rowOff>
    </xdr:to>
    <xdr:graphicFrame macro="">
      <xdr:nvGraphicFramePr>
        <xdr:cNvPr id="2" name="Chart 1">
          <a:extLst>
            <a:ext uri="{FF2B5EF4-FFF2-40B4-BE49-F238E27FC236}">
              <a16:creationId xmlns:a16="http://schemas.microsoft.com/office/drawing/2014/main" id="{972910DF-8B36-AC58-238E-7926CA253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10</xdr:col>
      <xdr:colOff>312420</xdr:colOff>
      <xdr:row>16</xdr:row>
      <xdr:rowOff>171450</xdr:rowOff>
    </xdr:to>
    <xdr:graphicFrame macro="">
      <xdr:nvGraphicFramePr>
        <xdr:cNvPr id="2" name="Chart 1">
          <a:extLst>
            <a:ext uri="{FF2B5EF4-FFF2-40B4-BE49-F238E27FC236}">
              <a16:creationId xmlns:a16="http://schemas.microsoft.com/office/drawing/2014/main" id="{1703739D-07B3-2319-8B35-E7527F4A9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17</xdr:row>
      <xdr:rowOff>45720</xdr:rowOff>
    </xdr:from>
    <xdr:to>
      <xdr:col>11</xdr:col>
      <xdr:colOff>175260</xdr:colOff>
      <xdr:row>20</xdr:row>
      <xdr:rowOff>0</xdr:rowOff>
    </xdr:to>
    <xdr:sp macro="" textlink="">
      <xdr:nvSpPr>
        <xdr:cNvPr id="3" name="TextBox 2">
          <a:extLst>
            <a:ext uri="{FF2B5EF4-FFF2-40B4-BE49-F238E27FC236}">
              <a16:creationId xmlns:a16="http://schemas.microsoft.com/office/drawing/2014/main" id="{FB5390DB-F124-328C-4158-4701FE66BB9E}"/>
            </a:ext>
          </a:extLst>
        </xdr:cNvPr>
        <xdr:cNvSpPr txBox="1"/>
      </xdr:nvSpPr>
      <xdr:spPr>
        <a:xfrm>
          <a:off x="2933700" y="3154680"/>
          <a:ext cx="5006340" cy="502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 2024, admissions peaked in December with 30 patients, while the lowest numbers were seen in July and October with 17 patients each.</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xdr:colOff>
      <xdr:row>1</xdr:row>
      <xdr:rowOff>163830</xdr:rowOff>
    </xdr:from>
    <xdr:to>
      <xdr:col>10</xdr:col>
      <xdr:colOff>342900</xdr:colOff>
      <xdr:row>16</xdr:row>
      <xdr:rowOff>163830</xdr:rowOff>
    </xdr:to>
    <xdr:graphicFrame macro="">
      <xdr:nvGraphicFramePr>
        <xdr:cNvPr id="2" name="Chart 1">
          <a:extLst>
            <a:ext uri="{FF2B5EF4-FFF2-40B4-BE49-F238E27FC236}">
              <a16:creationId xmlns:a16="http://schemas.microsoft.com/office/drawing/2014/main" id="{B93E70D4-D98D-6267-CFD5-917A92CE1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refreshedDate="46106.661375694443" createdVersion="8" refreshedVersion="8" minRefreshableVersion="3" recordCount="250" xr:uid="{8B763A2C-B3F9-493D-9A00-0495F4AFB20E}">
  <cacheSource type="worksheet">
    <worksheetSource ref="A1:S251" sheet="Hospital_data"/>
  </cacheSource>
  <cacheFields count="19">
    <cacheField name="Patient_ID" numFmtId="0">
      <sharedItems/>
    </cacheField>
    <cacheField name="Patient_Name" numFmtId="0">
      <sharedItems/>
    </cacheField>
    <cacheField name="Gender" numFmtId="0">
      <sharedItems count="2">
        <s v="Male"/>
        <s v="Female"/>
      </sharedItems>
    </cacheField>
    <cacheField name="Age" numFmtId="0">
      <sharedItems containsSemiMixedTypes="0" containsString="0" containsNumber="1" containsInteger="1" minValue="1" maxValue="85"/>
    </cacheField>
    <cacheField name="City" numFmtId="0">
      <sharedItems count="7">
        <s v="Surat"/>
        <s v="Bangalore"/>
        <s v="Delhi"/>
        <s v="Mumbai"/>
        <s v="Pune"/>
        <s v="Ahmedabad"/>
        <s v="Jaipur"/>
      </sharedItems>
    </cacheField>
    <cacheField name="Department" numFmtId="0">
      <sharedItems count="7">
        <s v="Pediatrics"/>
        <s v="Dermatology"/>
        <s v="General"/>
        <s v="Cardiology"/>
        <s v="Orthopedics"/>
        <s v="Neurology"/>
        <s v="Oncology"/>
      </sharedItems>
    </cacheField>
    <cacheField name="Doctor_Name" numFmtId="0">
      <sharedItems count="6">
        <s v="Dr. Gupta"/>
        <s v="Dr. Patel"/>
        <s v="Dr. Shah"/>
        <s v="Dr. Sharma"/>
        <s v="Dr. Singh"/>
        <s v="Dr. Mehta"/>
      </sharedItems>
    </cacheField>
    <cacheField name="Admission_Date" numFmtId="164">
      <sharedItems/>
    </cacheField>
    <cacheField name="Discharge_Date" numFmtId="164">
      <sharedItems/>
    </cacheField>
    <cacheField name="Disease" numFmtId="0">
      <sharedItems/>
    </cacheField>
    <cacheField name="Treatment_Cost" numFmtId="0">
      <sharedItems containsSemiMixedTypes="0" containsString="0" containsNumber="1" containsInteger="1" minValue="6157" maxValue="99839"/>
    </cacheField>
    <cacheField name="Payment_Mode" numFmtId="0">
      <sharedItems/>
    </cacheField>
    <cacheField name="Length_of_Stay" numFmtId="0">
      <sharedItems containsSemiMixedTypes="0" containsString="0" containsNumber="1" containsInteger="1" minValue="1" maxValue="10"/>
    </cacheField>
    <cacheField name="Status" numFmtId="0">
      <sharedItems count="3">
        <s v="Discharged"/>
        <s v="Recovered"/>
        <s v="Under Treatment"/>
      </sharedItems>
    </cacheField>
    <cacheField name="Age group" numFmtId="0">
      <sharedItems/>
    </cacheField>
    <cacheField name="D_Year" numFmtId="0">
      <sharedItems containsSemiMixedTypes="0" containsString="0" containsNumber="1" containsInteger="1" minValue="2024" maxValue="2025" count="2">
        <n v="2024"/>
        <n v="2025"/>
      </sharedItems>
    </cacheField>
    <cacheField name="D_Month_name" numFmtId="0">
      <sharedItems count="12">
        <s v="Sep"/>
        <s v="Feb"/>
        <s v="Oct"/>
        <s v="Nov"/>
        <s v="Jun"/>
        <s v="May"/>
        <s v="Aug"/>
        <s v="Apr"/>
        <s v="Jan"/>
        <s v="Jul"/>
        <s v="Dec"/>
        <s v="Mar"/>
      </sharedItems>
    </cacheField>
    <cacheField name="A_Year" numFmtId="0">
      <sharedItems containsSemiMixedTypes="0" containsString="0" containsNumber="1" containsInteger="1" minValue="2024" maxValue="2024" count="1">
        <n v="2024"/>
      </sharedItems>
    </cacheField>
    <cacheField name="A_Month_name" numFmtId="0">
      <sharedItems count="12">
        <s v="Sep"/>
        <s v="Feb"/>
        <s v="Oct"/>
        <s v="Nov"/>
        <s v="Jun"/>
        <s v="Apr"/>
        <s v="Aug"/>
        <s v="Mar"/>
        <s v="Jan"/>
        <s v="May"/>
        <s v="Jul"/>
        <s v="Dec"/>
      </sharedItems>
    </cacheField>
  </cacheFields>
  <extLst>
    <ext xmlns:x14="http://schemas.microsoft.com/office/spreadsheetml/2009/9/main" uri="{725AE2AE-9491-48be-B2B4-4EB974FC3084}">
      <x14:pivotCacheDefinition pivotCacheId="894386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P001"/>
    <s v="Vihaan"/>
    <x v="0"/>
    <n v="83"/>
    <x v="0"/>
    <x v="0"/>
    <x v="0"/>
    <s v="2024-09-06"/>
    <s v="2024-09-15"/>
    <s v="Fracture"/>
    <n v="40312"/>
    <s v="Cash"/>
    <n v="9"/>
    <x v="0"/>
    <s v="Senior"/>
    <x v="0"/>
    <x v="0"/>
    <x v="0"/>
    <x v="0"/>
  </r>
  <r>
    <s v="P002"/>
    <s v="Anaya"/>
    <x v="1"/>
    <n v="49"/>
    <x v="1"/>
    <x v="0"/>
    <x v="0"/>
    <s v="2024-02-02"/>
    <s v="2024-02-11"/>
    <s v="Skin Allergy"/>
    <n v="18846"/>
    <s v="Cash"/>
    <n v="9"/>
    <x v="0"/>
    <s v="Adult"/>
    <x v="0"/>
    <x v="1"/>
    <x v="0"/>
    <x v="1"/>
  </r>
  <r>
    <s v="P003"/>
    <s v="Riya"/>
    <x v="0"/>
    <n v="54"/>
    <x v="2"/>
    <x v="1"/>
    <x v="1"/>
    <s v="2024-10-12"/>
    <s v="2024-10-17"/>
    <s v="Cancer"/>
    <n v="66405"/>
    <s v="Card"/>
    <n v="5"/>
    <x v="1"/>
    <s v="Adult"/>
    <x v="0"/>
    <x v="2"/>
    <x v="0"/>
    <x v="2"/>
  </r>
  <r>
    <s v="P004"/>
    <s v="Arjun"/>
    <x v="0"/>
    <n v="47"/>
    <x v="3"/>
    <x v="1"/>
    <x v="1"/>
    <s v="2024-11-12"/>
    <s v="2024-11-22"/>
    <s v="Migraine"/>
    <n v="35719"/>
    <s v="Card"/>
    <n v="10"/>
    <x v="1"/>
    <s v="Adult"/>
    <x v="0"/>
    <x v="3"/>
    <x v="0"/>
    <x v="3"/>
  </r>
  <r>
    <s v="P005"/>
    <s v="Anaya"/>
    <x v="0"/>
    <n v="17"/>
    <x v="4"/>
    <x v="2"/>
    <x v="0"/>
    <s v="2024-06-22"/>
    <s v="2024-06-27"/>
    <s v="Migraine"/>
    <n v="48803"/>
    <s v="UPI"/>
    <n v="5"/>
    <x v="0"/>
    <s v="Child"/>
    <x v="0"/>
    <x v="4"/>
    <x v="0"/>
    <x v="4"/>
  </r>
  <r>
    <s v="P006"/>
    <s v="Arjun"/>
    <x v="0"/>
    <n v="38"/>
    <x v="5"/>
    <x v="3"/>
    <x v="2"/>
    <s v="2024-04-30"/>
    <s v="2024-05-10"/>
    <s v="Fever"/>
    <n v="54495"/>
    <s v="Cash"/>
    <n v="10"/>
    <x v="1"/>
    <s v="Adult"/>
    <x v="0"/>
    <x v="5"/>
    <x v="0"/>
    <x v="5"/>
  </r>
  <r>
    <s v="P007"/>
    <s v="Aditya"/>
    <x v="0"/>
    <n v="54"/>
    <x v="3"/>
    <x v="4"/>
    <x v="0"/>
    <s v="2024-04-26"/>
    <s v="2024-05-01"/>
    <s v="Heart Disease"/>
    <n v="52164"/>
    <s v="Cash"/>
    <n v="5"/>
    <x v="1"/>
    <s v="Adult"/>
    <x v="0"/>
    <x v="5"/>
    <x v="0"/>
    <x v="5"/>
  </r>
  <r>
    <s v="P008"/>
    <s v="Diya"/>
    <x v="1"/>
    <n v="85"/>
    <x v="6"/>
    <x v="1"/>
    <x v="1"/>
    <s v="2024-08-26"/>
    <s v="2024-08-30"/>
    <s v="Heart Disease"/>
    <n v="18654"/>
    <s v="UPI"/>
    <n v="4"/>
    <x v="2"/>
    <s v="Senior"/>
    <x v="0"/>
    <x v="6"/>
    <x v="0"/>
    <x v="6"/>
  </r>
  <r>
    <s v="P009"/>
    <s v="Navya"/>
    <x v="0"/>
    <n v="65"/>
    <x v="0"/>
    <x v="5"/>
    <x v="3"/>
    <s v="2024-03-28"/>
    <s v="2024-04-07"/>
    <s v="Heart Disease"/>
    <n v="39633"/>
    <s v="UPI"/>
    <n v="10"/>
    <x v="0"/>
    <s v="Senior"/>
    <x v="0"/>
    <x v="7"/>
    <x v="0"/>
    <x v="7"/>
  </r>
  <r>
    <s v="P010"/>
    <s v="Navya"/>
    <x v="1"/>
    <n v="1"/>
    <x v="3"/>
    <x v="0"/>
    <x v="2"/>
    <s v="2024-01-19"/>
    <s v="2024-01-25"/>
    <s v="Skin Allergy"/>
    <n v="34873"/>
    <s v="UPI"/>
    <n v="6"/>
    <x v="2"/>
    <s v="Child"/>
    <x v="0"/>
    <x v="8"/>
    <x v="0"/>
    <x v="8"/>
  </r>
  <r>
    <s v="P011"/>
    <s v="Navya"/>
    <x v="0"/>
    <n v="36"/>
    <x v="2"/>
    <x v="1"/>
    <x v="4"/>
    <s v="2024-09-16"/>
    <s v="2024-09-26"/>
    <s v="Heart Disease"/>
    <n v="94728"/>
    <s v="UPI"/>
    <n v="10"/>
    <x v="0"/>
    <s v="Adult"/>
    <x v="0"/>
    <x v="0"/>
    <x v="0"/>
    <x v="0"/>
  </r>
  <r>
    <s v="P012"/>
    <s v="Arjun"/>
    <x v="1"/>
    <n v="3"/>
    <x v="6"/>
    <x v="1"/>
    <x v="0"/>
    <s v="2024-05-04"/>
    <s v="2024-05-07"/>
    <s v="Cancer"/>
    <n v="78145"/>
    <s v="Cash"/>
    <n v="3"/>
    <x v="1"/>
    <s v="Child"/>
    <x v="0"/>
    <x v="5"/>
    <x v="0"/>
    <x v="9"/>
  </r>
  <r>
    <s v="P013"/>
    <s v="Vihaan"/>
    <x v="1"/>
    <n v="81"/>
    <x v="2"/>
    <x v="4"/>
    <x v="1"/>
    <s v="2024-07-25"/>
    <s v="2024-07-31"/>
    <s v="Migraine"/>
    <n v="48736"/>
    <s v="Card"/>
    <n v="6"/>
    <x v="0"/>
    <s v="Senior"/>
    <x v="0"/>
    <x v="9"/>
    <x v="0"/>
    <x v="10"/>
  </r>
  <r>
    <s v="P014"/>
    <s v="Aditya"/>
    <x v="0"/>
    <n v="85"/>
    <x v="5"/>
    <x v="2"/>
    <x v="1"/>
    <s v="2024-04-25"/>
    <s v="2024-05-05"/>
    <s v="Cancer"/>
    <n v="57756"/>
    <s v="Cash"/>
    <n v="10"/>
    <x v="0"/>
    <s v="Senior"/>
    <x v="0"/>
    <x v="5"/>
    <x v="0"/>
    <x v="5"/>
  </r>
  <r>
    <s v="P015"/>
    <s v="Reyansh"/>
    <x v="1"/>
    <n v="57"/>
    <x v="2"/>
    <x v="1"/>
    <x v="2"/>
    <s v="2024-04-21"/>
    <s v="2024-04-30"/>
    <s v="Diabetes"/>
    <n v="71795"/>
    <s v="Card"/>
    <n v="9"/>
    <x v="1"/>
    <s v="Adult"/>
    <x v="0"/>
    <x v="7"/>
    <x v="0"/>
    <x v="5"/>
  </r>
  <r>
    <s v="P016"/>
    <s v="Aarav"/>
    <x v="0"/>
    <n v="36"/>
    <x v="2"/>
    <x v="2"/>
    <x v="0"/>
    <s v="2024-01-17"/>
    <s v="2024-01-18"/>
    <s v="Skin Allergy"/>
    <n v="35862"/>
    <s v="Card"/>
    <n v="1"/>
    <x v="1"/>
    <s v="Adult"/>
    <x v="0"/>
    <x v="8"/>
    <x v="0"/>
    <x v="8"/>
  </r>
  <r>
    <s v="P017"/>
    <s v="Ira"/>
    <x v="1"/>
    <n v="81"/>
    <x v="4"/>
    <x v="6"/>
    <x v="5"/>
    <s v="2024-06-18"/>
    <s v="2024-06-28"/>
    <s v="Migraine"/>
    <n v="16331"/>
    <s v="UPI"/>
    <n v="10"/>
    <x v="1"/>
    <s v="Senior"/>
    <x v="0"/>
    <x v="4"/>
    <x v="0"/>
    <x v="4"/>
  </r>
  <r>
    <s v="P018"/>
    <s v="Navya"/>
    <x v="1"/>
    <n v="77"/>
    <x v="3"/>
    <x v="2"/>
    <x v="5"/>
    <s v="2024-06-03"/>
    <s v="2024-06-04"/>
    <s v="Cancer"/>
    <n v="12417"/>
    <s v="Card"/>
    <n v="1"/>
    <x v="0"/>
    <s v="Senior"/>
    <x v="0"/>
    <x v="4"/>
    <x v="0"/>
    <x v="4"/>
  </r>
  <r>
    <s v="P019"/>
    <s v="Krishna"/>
    <x v="1"/>
    <n v="71"/>
    <x v="3"/>
    <x v="6"/>
    <x v="2"/>
    <s v="2024-10-02"/>
    <s v="2024-10-06"/>
    <s v="Cancer"/>
    <n v="49937"/>
    <s v="UPI"/>
    <n v="4"/>
    <x v="0"/>
    <s v="Senior"/>
    <x v="0"/>
    <x v="2"/>
    <x v="0"/>
    <x v="2"/>
  </r>
  <r>
    <s v="P020"/>
    <s v="Aadhya"/>
    <x v="0"/>
    <n v="44"/>
    <x v="0"/>
    <x v="1"/>
    <x v="0"/>
    <s v="2024-03-24"/>
    <s v="2024-04-01"/>
    <s v="Cancer"/>
    <n v="70833"/>
    <s v="Cash"/>
    <n v="8"/>
    <x v="2"/>
    <s v="Adult"/>
    <x v="0"/>
    <x v="7"/>
    <x v="0"/>
    <x v="7"/>
  </r>
  <r>
    <s v="P021"/>
    <s v="Anaya"/>
    <x v="1"/>
    <n v="72"/>
    <x v="3"/>
    <x v="1"/>
    <x v="0"/>
    <s v="2024-10-25"/>
    <s v="2024-10-27"/>
    <s v="Heart Disease"/>
    <n v="69389"/>
    <s v="UPI"/>
    <n v="2"/>
    <x v="0"/>
    <s v="Senior"/>
    <x v="0"/>
    <x v="2"/>
    <x v="0"/>
    <x v="2"/>
  </r>
  <r>
    <s v="P022"/>
    <s v="Shaurya"/>
    <x v="0"/>
    <n v="7"/>
    <x v="1"/>
    <x v="1"/>
    <x v="5"/>
    <s v="2024-11-08"/>
    <s v="2024-11-10"/>
    <s v="Fracture"/>
    <n v="98204"/>
    <s v="UPI"/>
    <n v="2"/>
    <x v="0"/>
    <s v="Child"/>
    <x v="0"/>
    <x v="3"/>
    <x v="0"/>
    <x v="3"/>
  </r>
  <r>
    <s v="P023"/>
    <s v="Krishna"/>
    <x v="1"/>
    <n v="14"/>
    <x v="2"/>
    <x v="3"/>
    <x v="3"/>
    <s v="2024-12-23"/>
    <s v="2024-12-24"/>
    <s v="Skin Allergy"/>
    <n v="14139"/>
    <s v="Cash"/>
    <n v="1"/>
    <x v="2"/>
    <s v="Child"/>
    <x v="0"/>
    <x v="10"/>
    <x v="0"/>
    <x v="11"/>
  </r>
  <r>
    <s v="P024"/>
    <s v="Aarav"/>
    <x v="1"/>
    <n v="79"/>
    <x v="2"/>
    <x v="5"/>
    <x v="1"/>
    <s v="2024-10-01"/>
    <s v="2024-10-06"/>
    <s v="Diabetes"/>
    <n v="77514"/>
    <s v="UPI"/>
    <n v="5"/>
    <x v="2"/>
    <s v="Senior"/>
    <x v="0"/>
    <x v="2"/>
    <x v="0"/>
    <x v="2"/>
  </r>
  <r>
    <s v="P025"/>
    <s v="Shaurya"/>
    <x v="1"/>
    <n v="71"/>
    <x v="6"/>
    <x v="4"/>
    <x v="3"/>
    <s v="2024-10-12"/>
    <s v="2024-10-15"/>
    <s v="Diabetes"/>
    <n v="95037"/>
    <s v="Card"/>
    <n v="3"/>
    <x v="1"/>
    <s v="Senior"/>
    <x v="0"/>
    <x v="2"/>
    <x v="0"/>
    <x v="2"/>
  </r>
  <r>
    <s v="P026"/>
    <s v="Sara"/>
    <x v="1"/>
    <n v="60"/>
    <x v="1"/>
    <x v="2"/>
    <x v="5"/>
    <s v="2024-05-28"/>
    <s v="2024-06-07"/>
    <s v="Heart Disease"/>
    <n v="91292"/>
    <s v="Cash"/>
    <n v="10"/>
    <x v="2"/>
    <s v="Adult"/>
    <x v="0"/>
    <x v="4"/>
    <x v="0"/>
    <x v="9"/>
  </r>
  <r>
    <s v="P027"/>
    <s v="Ishaan"/>
    <x v="1"/>
    <n v="62"/>
    <x v="5"/>
    <x v="5"/>
    <x v="3"/>
    <s v="2024-10-21"/>
    <s v="2024-10-22"/>
    <s v="Migraine"/>
    <n v="86746"/>
    <s v="Cash"/>
    <n v="1"/>
    <x v="1"/>
    <s v="Senior"/>
    <x v="0"/>
    <x v="2"/>
    <x v="0"/>
    <x v="2"/>
  </r>
  <r>
    <s v="P028"/>
    <s v="Arjun"/>
    <x v="1"/>
    <n v="84"/>
    <x v="1"/>
    <x v="6"/>
    <x v="5"/>
    <s v="2024-02-26"/>
    <s v="2024-02-28"/>
    <s v="Migraine"/>
    <n v="55885"/>
    <s v="Cash"/>
    <n v="2"/>
    <x v="2"/>
    <s v="Senior"/>
    <x v="0"/>
    <x v="1"/>
    <x v="0"/>
    <x v="1"/>
  </r>
  <r>
    <s v="P029"/>
    <s v="Aarav"/>
    <x v="0"/>
    <n v="21"/>
    <x v="6"/>
    <x v="4"/>
    <x v="5"/>
    <s v="2024-07-25"/>
    <s v="2024-08-02"/>
    <s v="Cancer"/>
    <n v="22591"/>
    <s v="UPI"/>
    <n v="8"/>
    <x v="2"/>
    <s v="Adult"/>
    <x v="0"/>
    <x v="6"/>
    <x v="0"/>
    <x v="10"/>
  </r>
  <r>
    <s v="P030"/>
    <s v="Anika"/>
    <x v="1"/>
    <n v="32"/>
    <x v="0"/>
    <x v="0"/>
    <x v="4"/>
    <s v="2024-08-18"/>
    <s v="2024-08-25"/>
    <s v="Fever"/>
    <n v="99597"/>
    <s v="Cash"/>
    <n v="7"/>
    <x v="2"/>
    <s v="Adult"/>
    <x v="0"/>
    <x v="6"/>
    <x v="0"/>
    <x v="6"/>
  </r>
  <r>
    <s v="P031"/>
    <s v="Anaya"/>
    <x v="0"/>
    <n v="26"/>
    <x v="1"/>
    <x v="2"/>
    <x v="5"/>
    <s v="2024-11-22"/>
    <s v="2024-12-02"/>
    <s v="Cancer"/>
    <n v="42369"/>
    <s v="UPI"/>
    <n v="10"/>
    <x v="1"/>
    <s v="Adult"/>
    <x v="0"/>
    <x v="10"/>
    <x v="0"/>
    <x v="3"/>
  </r>
  <r>
    <s v="P032"/>
    <s v="Diya"/>
    <x v="1"/>
    <n v="46"/>
    <x v="3"/>
    <x v="6"/>
    <x v="0"/>
    <s v="2024-12-28"/>
    <s v="2025-01-02"/>
    <s v="Migraine"/>
    <n v="34906"/>
    <s v="Cash"/>
    <n v="5"/>
    <x v="0"/>
    <s v="Adult"/>
    <x v="1"/>
    <x v="8"/>
    <x v="0"/>
    <x v="11"/>
  </r>
  <r>
    <s v="P033"/>
    <s v="Navya"/>
    <x v="0"/>
    <n v="34"/>
    <x v="1"/>
    <x v="4"/>
    <x v="4"/>
    <s v="2024-02-19"/>
    <s v="2024-02-28"/>
    <s v="Cancer"/>
    <n v="16131"/>
    <s v="Cash"/>
    <n v="9"/>
    <x v="1"/>
    <s v="Adult"/>
    <x v="0"/>
    <x v="1"/>
    <x v="0"/>
    <x v="1"/>
  </r>
  <r>
    <s v="P034"/>
    <s v="Diya"/>
    <x v="0"/>
    <n v="19"/>
    <x v="1"/>
    <x v="5"/>
    <x v="2"/>
    <s v="2024-01-13"/>
    <s v="2024-01-18"/>
    <s v="Heart Disease"/>
    <n v="32975"/>
    <s v="Cash"/>
    <n v="5"/>
    <x v="2"/>
    <s v="Adult"/>
    <x v="0"/>
    <x v="8"/>
    <x v="0"/>
    <x v="8"/>
  </r>
  <r>
    <s v="P035"/>
    <s v="Meera"/>
    <x v="0"/>
    <n v="65"/>
    <x v="6"/>
    <x v="0"/>
    <x v="1"/>
    <s v="2024-09-18"/>
    <s v="2024-09-20"/>
    <s v="Fracture"/>
    <n v="41362"/>
    <s v="Card"/>
    <n v="2"/>
    <x v="1"/>
    <s v="Senior"/>
    <x v="0"/>
    <x v="0"/>
    <x v="0"/>
    <x v="0"/>
  </r>
  <r>
    <s v="P036"/>
    <s v="Vihaan"/>
    <x v="0"/>
    <n v="3"/>
    <x v="0"/>
    <x v="0"/>
    <x v="5"/>
    <s v="2024-09-12"/>
    <s v="2024-09-17"/>
    <s v="Fracture"/>
    <n v="11936"/>
    <s v="UPI"/>
    <n v="5"/>
    <x v="1"/>
    <s v="Child"/>
    <x v="0"/>
    <x v="0"/>
    <x v="0"/>
    <x v="0"/>
  </r>
  <r>
    <s v="P037"/>
    <s v="Vivaan"/>
    <x v="0"/>
    <n v="37"/>
    <x v="6"/>
    <x v="5"/>
    <x v="2"/>
    <s v="2024-02-23"/>
    <s v="2024-02-28"/>
    <s v="Migraine"/>
    <n v="30942"/>
    <s v="Cash"/>
    <n v="5"/>
    <x v="1"/>
    <s v="Adult"/>
    <x v="0"/>
    <x v="1"/>
    <x v="0"/>
    <x v="1"/>
  </r>
  <r>
    <s v="P038"/>
    <s v="Aadhya"/>
    <x v="0"/>
    <n v="84"/>
    <x v="2"/>
    <x v="2"/>
    <x v="1"/>
    <s v="2024-02-12"/>
    <s v="2024-02-18"/>
    <s v="Fracture"/>
    <n v="19736"/>
    <s v="UPI"/>
    <n v="6"/>
    <x v="1"/>
    <s v="Senior"/>
    <x v="0"/>
    <x v="1"/>
    <x v="0"/>
    <x v="1"/>
  </r>
  <r>
    <s v="P039"/>
    <s v="Sai"/>
    <x v="0"/>
    <n v="43"/>
    <x v="1"/>
    <x v="0"/>
    <x v="3"/>
    <s v="2024-01-16"/>
    <s v="2024-01-23"/>
    <s v="Fracture"/>
    <n v="32660"/>
    <s v="Cash"/>
    <n v="7"/>
    <x v="2"/>
    <s v="Adult"/>
    <x v="0"/>
    <x v="8"/>
    <x v="0"/>
    <x v="8"/>
  </r>
  <r>
    <s v="P040"/>
    <s v="Anika"/>
    <x v="1"/>
    <n v="84"/>
    <x v="6"/>
    <x v="1"/>
    <x v="3"/>
    <s v="2024-02-10"/>
    <s v="2024-02-11"/>
    <s v="Heart Disease"/>
    <n v="73688"/>
    <s v="Cash"/>
    <n v="1"/>
    <x v="1"/>
    <s v="Senior"/>
    <x v="0"/>
    <x v="1"/>
    <x v="0"/>
    <x v="1"/>
  </r>
  <r>
    <s v="P041"/>
    <s v="Riya"/>
    <x v="0"/>
    <n v="61"/>
    <x v="4"/>
    <x v="2"/>
    <x v="1"/>
    <s v="2024-03-12"/>
    <s v="2024-03-17"/>
    <s v="Heart Disease"/>
    <n v="35918"/>
    <s v="Card"/>
    <n v="5"/>
    <x v="1"/>
    <s v="Senior"/>
    <x v="0"/>
    <x v="11"/>
    <x v="0"/>
    <x v="7"/>
  </r>
  <r>
    <s v="P042"/>
    <s v="Arjun"/>
    <x v="1"/>
    <n v="29"/>
    <x v="1"/>
    <x v="4"/>
    <x v="5"/>
    <s v="2024-01-07"/>
    <s v="2024-01-16"/>
    <s v="Migraine"/>
    <n v="92149"/>
    <s v="Cash"/>
    <n v="9"/>
    <x v="2"/>
    <s v="Adult"/>
    <x v="0"/>
    <x v="8"/>
    <x v="0"/>
    <x v="8"/>
  </r>
  <r>
    <s v="P043"/>
    <s v="Aadhya"/>
    <x v="1"/>
    <n v="32"/>
    <x v="5"/>
    <x v="5"/>
    <x v="1"/>
    <s v="2024-08-03"/>
    <s v="2024-08-09"/>
    <s v="Cancer"/>
    <n v="79231"/>
    <s v="Card"/>
    <n v="6"/>
    <x v="1"/>
    <s v="Adult"/>
    <x v="0"/>
    <x v="6"/>
    <x v="0"/>
    <x v="6"/>
  </r>
  <r>
    <s v="P044"/>
    <s v="Vivaan"/>
    <x v="0"/>
    <n v="4"/>
    <x v="2"/>
    <x v="3"/>
    <x v="4"/>
    <s v="2024-02-15"/>
    <s v="2024-02-18"/>
    <s v="Cancer"/>
    <n v="15486"/>
    <s v="Cash"/>
    <n v="3"/>
    <x v="0"/>
    <s v="Child"/>
    <x v="0"/>
    <x v="1"/>
    <x v="0"/>
    <x v="1"/>
  </r>
  <r>
    <s v="P045"/>
    <s v="Aditya"/>
    <x v="1"/>
    <n v="4"/>
    <x v="2"/>
    <x v="1"/>
    <x v="4"/>
    <s v="2024-08-02"/>
    <s v="2024-08-11"/>
    <s v="Heart Disease"/>
    <n v="78501"/>
    <s v="Cash"/>
    <n v="9"/>
    <x v="2"/>
    <s v="Child"/>
    <x v="0"/>
    <x v="6"/>
    <x v="0"/>
    <x v="6"/>
  </r>
  <r>
    <s v="P046"/>
    <s v="Diya"/>
    <x v="0"/>
    <n v="65"/>
    <x v="6"/>
    <x v="3"/>
    <x v="0"/>
    <s v="2024-12-18"/>
    <s v="2024-12-22"/>
    <s v="Fever"/>
    <n v="6157"/>
    <s v="UPI"/>
    <n v="4"/>
    <x v="1"/>
    <s v="Senior"/>
    <x v="0"/>
    <x v="10"/>
    <x v="0"/>
    <x v="11"/>
  </r>
  <r>
    <s v="P047"/>
    <s v="Aditya"/>
    <x v="1"/>
    <n v="23"/>
    <x v="4"/>
    <x v="3"/>
    <x v="5"/>
    <s v="2024-12-15"/>
    <s v="2024-12-22"/>
    <s v="Migraine"/>
    <n v="21836"/>
    <s v="Card"/>
    <n v="7"/>
    <x v="1"/>
    <s v="Adult"/>
    <x v="0"/>
    <x v="10"/>
    <x v="0"/>
    <x v="11"/>
  </r>
  <r>
    <s v="P048"/>
    <s v="Ira"/>
    <x v="0"/>
    <n v="45"/>
    <x v="4"/>
    <x v="5"/>
    <x v="1"/>
    <s v="2024-08-10"/>
    <s v="2024-08-15"/>
    <s v="Fracture"/>
    <n v="59878"/>
    <s v="Card"/>
    <n v="5"/>
    <x v="0"/>
    <s v="Adult"/>
    <x v="0"/>
    <x v="6"/>
    <x v="0"/>
    <x v="6"/>
  </r>
  <r>
    <s v="P049"/>
    <s v="Sara"/>
    <x v="1"/>
    <n v="26"/>
    <x v="3"/>
    <x v="4"/>
    <x v="4"/>
    <s v="2024-05-05"/>
    <s v="2024-05-07"/>
    <s v="Cancer"/>
    <n v="36204"/>
    <s v="Card"/>
    <n v="2"/>
    <x v="0"/>
    <s v="Adult"/>
    <x v="0"/>
    <x v="5"/>
    <x v="0"/>
    <x v="9"/>
  </r>
  <r>
    <s v="P050"/>
    <s v="Krishna"/>
    <x v="0"/>
    <n v="48"/>
    <x v="6"/>
    <x v="0"/>
    <x v="3"/>
    <s v="2024-02-25"/>
    <s v="2024-02-26"/>
    <s v="Heart Disease"/>
    <n v="82483"/>
    <s v="Cash"/>
    <n v="1"/>
    <x v="1"/>
    <s v="Adult"/>
    <x v="0"/>
    <x v="1"/>
    <x v="0"/>
    <x v="1"/>
  </r>
  <r>
    <s v="P051"/>
    <s v="Sara"/>
    <x v="1"/>
    <n v="9"/>
    <x v="3"/>
    <x v="6"/>
    <x v="2"/>
    <s v="2024-10-08"/>
    <s v="2024-10-13"/>
    <s v="Heart Disease"/>
    <n v="99839"/>
    <s v="UPI"/>
    <n v="5"/>
    <x v="1"/>
    <s v="Child"/>
    <x v="0"/>
    <x v="2"/>
    <x v="0"/>
    <x v="2"/>
  </r>
  <r>
    <s v="P052"/>
    <s v="Meera"/>
    <x v="0"/>
    <n v="39"/>
    <x v="3"/>
    <x v="0"/>
    <x v="3"/>
    <s v="2024-11-28"/>
    <s v="2024-12-06"/>
    <s v="Heart Disease"/>
    <n v="87637"/>
    <s v="Card"/>
    <n v="8"/>
    <x v="1"/>
    <s v="Adult"/>
    <x v="0"/>
    <x v="10"/>
    <x v="0"/>
    <x v="3"/>
  </r>
  <r>
    <s v="P053"/>
    <s v="Ishaan"/>
    <x v="0"/>
    <n v="5"/>
    <x v="2"/>
    <x v="1"/>
    <x v="1"/>
    <s v="2024-06-14"/>
    <s v="2024-06-17"/>
    <s v="Migraine"/>
    <n v="52427"/>
    <s v="UPI"/>
    <n v="3"/>
    <x v="1"/>
    <s v="Child"/>
    <x v="0"/>
    <x v="4"/>
    <x v="0"/>
    <x v="4"/>
  </r>
  <r>
    <s v="P054"/>
    <s v="Riya"/>
    <x v="0"/>
    <n v="66"/>
    <x v="6"/>
    <x v="4"/>
    <x v="2"/>
    <s v="2024-02-20"/>
    <s v="2024-02-23"/>
    <s v="Skin Allergy"/>
    <n v="98862"/>
    <s v="UPI"/>
    <n v="3"/>
    <x v="1"/>
    <s v="Senior"/>
    <x v="0"/>
    <x v="1"/>
    <x v="0"/>
    <x v="1"/>
  </r>
  <r>
    <s v="P055"/>
    <s v="Vihaan"/>
    <x v="0"/>
    <n v="67"/>
    <x v="6"/>
    <x v="3"/>
    <x v="1"/>
    <s v="2024-12-08"/>
    <s v="2024-12-14"/>
    <s v="Heart Disease"/>
    <n v="27366"/>
    <s v="Card"/>
    <n v="6"/>
    <x v="2"/>
    <s v="Senior"/>
    <x v="0"/>
    <x v="10"/>
    <x v="0"/>
    <x v="11"/>
  </r>
  <r>
    <s v="P056"/>
    <s v="Sara"/>
    <x v="1"/>
    <n v="19"/>
    <x v="3"/>
    <x v="6"/>
    <x v="3"/>
    <s v="2024-04-01"/>
    <s v="2024-04-04"/>
    <s v="Heart Disease"/>
    <n v="55317"/>
    <s v="Card"/>
    <n v="3"/>
    <x v="0"/>
    <s v="Adult"/>
    <x v="0"/>
    <x v="7"/>
    <x v="0"/>
    <x v="5"/>
  </r>
  <r>
    <s v="P057"/>
    <s v="Meera"/>
    <x v="1"/>
    <n v="6"/>
    <x v="5"/>
    <x v="4"/>
    <x v="1"/>
    <s v="2024-10-08"/>
    <s v="2024-10-09"/>
    <s v="Diabetes"/>
    <n v="58730"/>
    <s v="UPI"/>
    <n v="1"/>
    <x v="2"/>
    <s v="Child"/>
    <x v="0"/>
    <x v="2"/>
    <x v="0"/>
    <x v="2"/>
  </r>
  <r>
    <s v="P058"/>
    <s v="Vihaan"/>
    <x v="1"/>
    <n v="65"/>
    <x v="4"/>
    <x v="5"/>
    <x v="4"/>
    <s v="2024-09-29"/>
    <s v="2024-10-08"/>
    <s v="Skin Allergy"/>
    <n v="8181"/>
    <s v="UPI"/>
    <n v="9"/>
    <x v="1"/>
    <s v="Senior"/>
    <x v="0"/>
    <x v="2"/>
    <x v="0"/>
    <x v="0"/>
  </r>
  <r>
    <s v="P059"/>
    <s v="Arjun"/>
    <x v="0"/>
    <n v="25"/>
    <x v="6"/>
    <x v="4"/>
    <x v="4"/>
    <s v="2024-06-20"/>
    <s v="2024-06-24"/>
    <s v="Fracture"/>
    <n v="43081"/>
    <s v="UPI"/>
    <n v="4"/>
    <x v="0"/>
    <s v="Adult"/>
    <x v="0"/>
    <x v="4"/>
    <x v="0"/>
    <x v="4"/>
  </r>
  <r>
    <s v="P060"/>
    <s v="Diya"/>
    <x v="0"/>
    <n v="16"/>
    <x v="3"/>
    <x v="1"/>
    <x v="3"/>
    <s v="2024-02-03"/>
    <s v="2024-02-10"/>
    <s v="Heart Disease"/>
    <n v="60846"/>
    <s v="Card"/>
    <n v="7"/>
    <x v="1"/>
    <s v="Child"/>
    <x v="0"/>
    <x v="1"/>
    <x v="0"/>
    <x v="1"/>
  </r>
  <r>
    <s v="P061"/>
    <s v="Sara"/>
    <x v="1"/>
    <n v="11"/>
    <x v="0"/>
    <x v="5"/>
    <x v="2"/>
    <s v="2024-05-15"/>
    <s v="2024-05-17"/>
    <s v="Cancer"/>
    <n v="72261"/>
    <s v="Card"/>
    <n v="2"/>
    <x v="1"/>
    <s v="Child"/>
    <x v="0"/>
    <x v="5"/>
    <x v="0"/>
    <x v="9"/>
  </r>
  <r>
    <s v="P062"/>
    <s v="Riya"/>
    <x v="1"/>
    <n v="36"/>
    <x v="6"/>
    <x v="0"/>
    <x v="1"/>
    <s v="2024-03-01"/>
    <s v="2024-03-02"/>
    <s v="Fever"/>
    <n v="43261"/>
    <s v="UPI"/>
    <n v="1"/>
    <x v="0"/>
    <s v="Adult"/>
    <x v="0"/>
    <x v="11"/>
    <x v="0"/>
    <x v="7"/>
  </r>
  <r>
    <s v="P063"/>
    <s v="Aditya"/>
    <x v="0"/>
    <n v="61"/>
    <x v="0"/>
    <x v="2"/>
    <x v="4"/>
    <s v="2024-12-05"/>
    <s v="2024-12-14"/>
    <s v="Fracture"/>
    <n v="28348"/>
    <s v="Cash"/>
    <n v="9"/>
    <x v="1"/>
    <s v="Senior"/>
    <x v="0"/>
    <x v="10"/>
    <x v="0"/>
    <x v="11"/>
  </r>
  <r>
    <s v="P064"/>
    <s v="Vihaan"/>
    <x v="0"/>
    <n v="78"/>
    <x v="1"/>
    <x v="0"/>
    <x v="3"/>
    <s v="2024-01-22"/>
    <s v="2024-01-24"/>
    <s v="Migraine"/>
    <n v="76271"/>
    <s v="UPI"/>
    <n v="2"/>
    <x v="2"/>
    <s v="Senior"/>
    <x v="0"/>
    <x v="8"/>
    <x v="0"/>
    <x v="8"/>
  </r>
  <r>
    <s v="P065"/>
    <s v="Reyansh"/>
    <x v="1"/>
    <n v="15"/>
    <x v="6"/>
    <x v="0"/>
    <x v="3"/>
    <s v="2024-09-26"/>
    <s v="2024-09-27"/>
    <s v="Migraine"/>
    <n v="79870"/>
    <s v="Cash"/>
    <n v="1"/>
    <x v="0"/>
    <s v="Child"/>
    <x v="0"/>
    <x v="0"/>
    <x v="0"/>
    <x v="0"/>
  </r>
  <r>
    <s v="P066"/>
    <s v="Vihaan"/>
    <x v="0"/>
    <n v="16"/>
    <x v="2"/>
    <x v="0"/>
    <x v="4"/>
    <s v="2024-02-26"/>
    <s v="2024-03-01"/>
    <s v="Skin Allergy"/>
    <n v="11177"/>
    <s v="Cash"/>
    <n v="4"/>
    <x v="1"/>
    <s v="Child"/>
    <x v="0"/>
    <x v="11"/>
    <x v="0"/>
    <x v="1"/>
  </r>
  <r>
    <s v="P067"/>
    <s v="Arjun"/>
    <x v="0"/>
    <n v="59"/>
    <x v="2"/>
    <x v="1"/>
    <x v="0"/>
    <s v="2024-12-12"/>
    <s v="2024-12-16"/>
    <s v="Fever"/>
    <n v="52186"/>
    <s v="Card"/>
    <n v="4"/>
    <x v="2"/>
    <s v="Adult"/>
    <x v="0"/>
    <x v="10"/>
    <x v="0"/>
    <x v="11"/>
  </r>
  <r>
    <s v="P068"/>
    <s v="Ishaan"/>
    <x v="0"/>
    <n v="68"/>
    <x v="3"/>
    <x v="3"/>
    <x v="0"/>
    <s v="2024-10-13"/>
    <s v="2024-10-14"/>
    <s v="Heart Disease"/>
    <n v="14810"/>
    <s v="Card"/>
    <n v="1"/>
    <x v="0"/>
    <s v="Senior"/>
    <x v="0"/>
    <x v="2"/>
    <x v="0"/>
    <x v="2"/>
  </r>
  <r>
    <s v="P069"/>
    <s v="Aarav"/>
    <x v="0"/>
    <n v="10"/>
    <x v="5"/>
    <x v="6"/>
    <x v="3"/>
    <s v="2024-09-23"/>
    <s v="2024-09-25"/>
    <s v="Skin Allergy"/>
    <n v="24042"/>
    <s v="Card"/>
    <n v="2"/>
    <x v="0"/>
    <s v="Child"/>
    <x v="0"/>
    <x v="0"/>
    <x v="0"/>
    <x v="0"/>
  </r>
  <r>
    <s v="P070"/>
    <s v="Myra"/>
    <x v="1"/>
    <n v="69"/>
    <x v="0"/>
    <x v="3"/>
    <x v="2"/>
    <s v="2024-02-20"/>
    <s v="2024-03-01"/>
    <s v="Migraine"/>
    <n v="94927"/>
    <s v="Card"/>
    <n v="10"/>
    <x v="1"/>
    <s v="Senior"/>
    <x v="0"/>
    <x v="11"/>
    <x v="0"/>
    <x v="1"/>
  </r>
  <r>
    <s v="P071"/>
    <s v="Vihaan"/>
    <x v="0"/>
    <n v="44"/>
    <x v="2"/>
    <x v="6"/>
    <x v="2"/>
    <s v="2024-11-30"/>
    <s v="2024-12-05"/>
    <s v="Heart Disease"/>
    <n v="70620"/>
    <s v="Card"/>
    <n v="5"/>
    <x v="2"/>
    <s v="Adult"/>
    <x v="0"/>
    <x v="10"/>
    <x v="0"/>
    <x v="3"/>
  </r>
  <r>
    <s v="P072"/>
    <s v="Vihaan"/>
    <x v="0"/>
    <n v="43"/>
    <x v="2"/>
    <x v="5"/>
    <x v="2"/>
    <s v="2024-05-20"/>
    <s v="2024-05-30"/>
    <s v="Migraine"/>
    <n v="72666"/>
    <s v="Card"/>
    <n v="10"/>
    <x v="2"/>
    <s v="Adult"/>
    <x v="0"/>
    <x v="5"/>
    <x v="0"/>
    <x v="9"/>
  </r>
  <r>
    <s v="P073"/>
    <s v="Myra"/>
    <x v="0"/>
    <n v="14"/>
    <x v="2"/>
    <x v="2"/>
    <x v="2"/>
    <s v="2024-05-14"/>
    <s v="2024-05-19"/>
    <s v="Skin Allergy"/>
    <n v="55633"/>
    <s v="Cash"/>
    <n v="5"/>
    <x v="1"/>
    <s v="Child"/>
    <x v="0"/>
    <x v="5"/>
    <x v="0"/>
    <x v="9"/>
  </r>
  <r>
    <s v="P074"/>
    <s v="Vivaan"/>
    <x v="1"/>
    <n v="84"/>
    <x v="5"/>
    <x v="5"/>
    <x v="1"/>
    <s v="2024-09-28"/>
    <s v="2024-10-06"/>
    <s v="Heart Disease"/>
    <n v="85557"/>
    <s v="UPI"/>
    <n v="8"/>
    <x v="0"/>
    <s v="Senior"/>
    <x v="0"/>
    <x v="2"/>
    <x v="0"/>
    <x v="0"/>
  </r>
  <r>
    <s v="P075"/>
    <s v="Krishna"/>
    <x v="0"/>
    <n v="63"/>
    <x v="3"/>
    <x v="1"/>
    <x v="5"/>
    <s v="2024-01-19"/>
    <s v="2024-01-29"/>
    <s v="Diabetes"/>
    <n v="23150"/>
    <s v="Card"/>
    <n v="10"/>
    <x v="0"/>
    <s v="Senior"/>
    <x v="0"/>
    <x v="8"/>
    <x v="0"/>
    <x v="8"/>
  </r>
  <r>
    <s v="P076"/>
    <s v="Sai"/>
    <x v="0"/>
    <n v="61"/>
    <x v="0"/>
    <x v="6"/>
    <x v="4"/>
    <s v="2024-07-11"/>
    <s v="2024-07-19"/>
    <s v="Heart Disease"/>
    <n v="21159"/>
    <s v="Card"/>
    <n v="8"/>
    <x v="0"/>
    <s v="Senior"/>
    <x v="0"/>
    <x v="9"/>
    <x v="0"/>
    <x v="10"/>
  </r>
  <r>
    <s v="P077"/>
    <s v="Arjun"/>
    <x v="0"/>
    <n v="52"/>
    <x v="0"/>
    <x v="3"/>
    <x v="4"/>
    <s v="2024-12-29"/>
    <s v="2025-01-05"/>
    <s v="Skin Allergy"/>
    <n v="66572"/>
    <s v="Card"/>
    <n v="7"/>
    <x v="0"/>
    <s v="Adult"/>
    <x v="1"/>
    <x v="8"/>
    <x v="0"/>
    <x v="11"/>
  </r>
  <r>
    <s v="P078"/>
    <s v="Anaya"/>
    <x v="0"/>
    <n v="82"/>
    <x v="3"/>
    <x v="2"/>
    <x v="2"/>
    <s v="2024-08-01"/>
    <s v="2024-08-03"/>
    <s v="Migraine"/>
    <n v="21899"/>
    <s v="UPI"/>
    <n v="2"/>
    <x v="0"/>
    <s v="Senior"/>
    <x v="0"/>
    <x v="6"/>
    <x v="0"/>
    <x v="6"/>
  </r>
  <r>
    <s v="P079"/>
    <s v="Ira"/>
    <x v="1"/>
    <n v="3"/>
    <x v="2"/>
    <x v="3"/>
    <x v="0"/>
    <s v="2024-05-20"/>
    <s v="2024-05-25"/>
    <s v="Skin Allergy"/>
    <n v="60416"/>
    <s v="Card"/>
    <n v="5"/>
    <x v="1"/>
    <s v="Child"/>
    <x v="0"/>
    <x v="5"/>
    <x v="0"/>
    <x v="9"/>
  </r>
  <r>
    <s v="P080"/>
    <s v="Ira"/>
    <x v="0"/>
    <n v="46"/>
    <x v="1"/>
    <x v="3"/>
    <x v="1"/>
    <s v="2024-04-09"/>
    <s v="2024-04-10"/>
    <s v="Fever"/>
    <n v="89609"/>
    <s v="Cash"/>
    <n v="1"/>
    <x v="1"/>
    <s v="Adult"/>
    <x v="0"/>
    <x v="7"/>
    <x v="0"/>
    <x v="5"/>
  </r>
  <r>
    <s v="P081"/>
    <s v="Ira"/>
    <x v="0"/>
    <n v="83"/>
    <x v="6"/>
    <x v="1"/>
    <x v="3"/>
    <s v="2024-12-20"/>
    <s v="2024-12-25"/>
    <s v="Skin Allergy"/>
    <n v="87908"/>
    <s v="Cash"/>
    <n v="5"/>
    <x v="0"/>
    <s v="Senior"/>
    <x v="0"/>
    <x v="10"/>
    <x v="0"/>
    <x v="11"/>
  </r>
  <r>
    <s v="P082"/>
    <s v="Riya"/>
    <x v="1"/>
    <n v="29"/>
    <x v="6"/>
    <x v="1"/>
    <x v="0"/>
    <s v="2024-09-29"/>
    <s v="2024-09-30"/>
    <s v="Diabetes"/>
    <n v="64219"/>
    <s v="Card"/>
    <n v="1"/>
    <x v="1"/>
    <s v="Adult"/>
    <x v="0"/>
    <x v="0"/>
    <x v="0"/>
    <x v="0"/>
  </r>
  <r>
    <s v="P083"/>
    <s v="Vivaan"/>
    <x v="0"/>
    <n v="35"/>
    <x v="5"/>
    <x v="4"/>
    <x v="5"/>
    <s v="2024-03-22"/>
    <s v="2024-03-31"/>
    <s v="Fever"/>
    <n v="65808"/>
    <s v="UPI"/>
    <n v="9"/>
    <x v="0"/>
    <s v="Adult"/>
    <x v="0"/>
    <x v="11"/>
    <x v="0"/>
    <x v="7"/>
  </r>
  <r>
    <s v="P084"/>
    <s v="Navya"/>
    <x v="0"/>
    <n v="32"/>
    <x v="4"/>
    <x v="2"/>
    <x v="0"/>
    <s v="2024-05-11"/>
    <s v="2024-05-20"/>
    <s v="Fever"/>
    <n v="36504"/>
    <s v="Cash"/>
    <n v="9"/>
    <x v="0"/>
    <s v="Adult"/>
    <x v="0"/>
    <x v="5"/>
    <x v="0"/>
    <x v="9"/>
  </r>
  <r>
    <s v="P085"/>
    <s v="Ishaan"/>
    <x v="0"/>
    <n v="34"/>
    <x v="3"/>
    <x v="1"/>
    <x v="5"/>
    <s v="2024-03-22"/>
    <s v="2024-03-27"/>
    <s v="Skin Allergy"/>
    <n v="30504"/>
    <s v="UPI"/>
    <n v="5"/>
    <x v="2"/>
    <s v="Adult"/>
    <x v="0"/>
    <x v="11"/>
    <x v="0"/>
    <x v="7"/>
  </r>
  <r>
    <s v="P086"/>
    <s v="Reyansh"/>
    <x v="1"/>
    <n v="4"/>
    <x v="5"/>
    <x v="3"/>
    <x v="5"/>
    <s v="2024-05-29"/>
    <s v="2024-05-31"/>
    <s v="Cancer"/>
    <n v="84763"/>
    <s v="Card"/>
    <n v="2"/>
    <x v="1"/>
    <s v="Child"/>
    <x v="0"/>
    <x v="5"/>
    <x v="0"/>
    <x v="9"/>
  </r>
  <r>
    <s v="P087"/>
    <s v="Reyansh"/>
    <x v="0"/>
    <n v="27"/>
    <x v="1"/>
    <x v="1"/>
    <x v="5"/>
    <s v="2024-05-10"/>
    <s v="2024-05-16"/>
    <s v="Diabetes"/>
    <n v="95996"/>
    <s v="Card"/>
    <n v="6"/>
    <x v="0"/>
    <s v="Adult"/>
    <x v="0"/>
    <x v="5"/>
    <x v="0"/>
    <x v="9"/>
  </r>
  <r>
    <s v="P088"/>
    <s v="Arjun"/>
    <x v="0"/>
    <n v="83"/>
    <x v="2"/>
    <x v="1"/>
    <x v="2"/>
    <s v="2024-01-25"/>
    <s v="2024-02-04"/>
    <s v="Fever"/>
    <n v="81568"/>
    <s v="Card"/>
    <n v="10"/>
    <x v="2"/>
    <s v="Senior"/>
    <x v="0"/>
    <x v="1"/>
    <x v="0"/>
    <x v="8"/>
  </r>
  <r>
    <s v="P089"/>
    <s v="Arjun"/>
    <x v="1"/>
    <n v="71"/>
    <x v="1"/>
    <x v="2"/>
    <x v="3"/>
    <s v="2024-03-21"/>
    <s v="2024-03-26"/>
    <s v="Heart Disease"/>
    <n v="61860"/>
    <s v="Cash"/>
    <n v="5"/>
    <x v="0"/>
    <s v="Senior"/>
    <x v="0"/>
    <x v="11"/>
    <x v="0"/>
    <x v="7"/>
  </r>
  <r>
    <s v="P090"/>
    <s v="Diya"/>
    <x v="1"/>
    <n v="61"/>
    <x v="6"/>
    <x v="4"/>
    <x v="0"/>
    <s v="2024-07-22"/>
    <s v="2024-07-26"/>
    <s v="Fever"/>
    <n v="98689"/>
    <s v="UPI"/>
    <n v="4"/>
    <x v="1"/>
    <s v="Senior"/>
    <x v="0"/>
    <x v="9"/>
    <x v="0"/>
    <x v="10"/>
  </r>
  <r>
    <s v="P091"/>
    <s v="Anika"/>
    <x v="0"/>
    <n v="68"/>
    <x v="2"/>
    <x v="6"/>
    <x v="4"/>
    <s v="2024-03-23"/>
    <s v="2024-03-30"/>
    <s v="Heart Disease"/>
    <n v="48311"/>
    <s v="Cash"/>
    <n v="7"/>
    <x v="2"/>
    <s v="Senior"/>
    <x v="0"/>
    <x v="11"/>
    <x v="0"/>
    <x v="7"/>
  </r>
  <r>
    <s v="P092"/>
    <s v="Ira"/>
    <x v="0"/>
    <n v="54"/>
    <x v="6"/>
    <x v="2"/>
    <x v="5"/>
    <s v="2024-01-24"/>
    <s v="2024-02-01"/>
    <s v="Fracture"/>
    <n v="67494"/>
    <s v="Cash"/>
    <n v="8"/>
    <x v="2"/>
    <s v="Adult"/>
    <x v="0"/>
    <x v="1"/>
    <x v="0"/>
    <x v="8"/>
  </r>
  <r>
    <s v="P093"/>
    <s v="Myra"/>
    <x v="0"/>
    <n v="43"/>
    <x v="2"/>
    <x v="2"/>
    <x v="5"/>
    <s v="2024-12-15"/>
    <s v="2024-12-23"/>
    <s v="Fracture"/>
    <n v="49415"/>
    <s v="Card"/>
    <n v="8"/>
    <x v="2"/>
    <s v="Adult"/>
    <x v="0"/>
    <x v="10"/>
    <x v="0"/>
    <x v="11"/>
  </r>
  <r>
    <s v="P094"/>
    <s v="Anika"/>
    <x v="1"/>
    <n v="54"/>
    <x v="6"/>
    <x v="5"/>
    <x v="2"/>
    <s v="2024-08-13"/>
    <s v="2024-08-22"/>
    <s v="Diabetes"/>
    <n v="58866"/>
    <s v="Cash"/>
    <n v="9"/>
    <x v="0"/>
    <s v="Adult"/>
    <x v="0"/>
    <x v="6"/>
    <x v="0"/>
    <x v="6"/>
  </r>
  <r>
    <s v="P095"/>
    <s v="Aditya"/>
    <x v="1"/>
    <n v="72"/>
    <x v="5"/>
    <x v="5"/>
    <x v="1"/>
    <s v="2024-11-01"/>
    <s v="2024-11-09"/>
    <s v="Migraine"/>
    <n v="62821"/>
    <s v="Card"/>
    <n v="8"/>
    <x v="1"/>
    <s v="Senior"/>
    <x v="0"/>
    <x v="3"/>
    <x v="0"/>
    <x v="3"/>
  </r>
  <r>
    <s v="P096"/>
    <s v="Aarav"/>
    <x v="1"/>
    <n v="36"/>
    <x v="4"/>
    <x v="6"/>
    <x v="5"/>
    <s v="2024-05-20"/>
    <s v="2024-05-30"/>
    <s v="Diabetes"/>
    <n v="86767"/>
    <s v="Cash"/>
    <n v="10"/>
    <x v="0"/>
    <s v="Adult"/>
    <x v="0"/>
    <x v="5"/>
    <x v="0"/>
    <x v="9"/>
  </r>
  <r>
    <s v="P097"/>
    <s v="Krishna"/>
    <x v="1"/>
    <n v="82"/>
    <x v="6"/>
    <x v="2"/>
    <x v="2"/>
    <s v="2024-10-21"/>
    <s v="2024-10-25"/>
    <s v="Diabetes"/>
    <n v="37693"/>
    <s v="Cash"/>
    <n v="4"/>
    <x v="2"/>
    <s v="Senior"/>
    <x v="0"/>
    <x v="2"/>
    <x v="0"/>
    <x v="2"/>
  </r>
  <r>
    <s v="P098"/>
    <s v="Reyansh"/>
    <x v="0"/>
    <n v="20"/>
    <x v="5"/>
    <x v="3"/>
    <x v="0"/>
    <s v="2024-07-25"/>
    <s v="2024-08-02"/>
    <s v="Diabetes"/>
    <n v="48159"/>
    <s v="UPI"/>
    <n v="8"/>
    <x v="2"/>
    <s v="Adult"/>
    <x v="0"/>
    <x v="6"/>
    <x v="0"/>
    <x v="10"/>
  </r>
  <r>
    <s v="P099"/>
    <s v="Sai"/>
    <x v="0"/>
    <n v="62"/>
    <x v="5"/>
    <x v="2"/>
    <x v="0"/>
    <s v="2024-09-06"/>
    <s v="2024-09-08"/>
    <s v="Fever"/>
    <n v="85124"/>
    <s v="UPI"/>
    <n v="2"/>
    <x v="0"/>
    <s v="Senior"/>
    <x v="0"/>
    <x v="0"/>
    <x v="0"/>
    <x v="0"/>
  </r>
  <r>
    <s v="P100"/>
    <s v="Krishna"/>
    <x v="1"/>
    <n v="4"/>
    <x v="5"/>
    <x v="1"/>
    <x v="2"/>
    <s v="2024-03-01"/>
    <s v="2024-03-08"/>
    <s v="Cancer"/>
    <n v="40189"/>
    <s v="UPI"/>
    <n v="7"/>
    <x v="0"/>
    <s v="Child"/>
    <x v="0"/>
    <x v="11"/>
    <x v="0"/>
    <x v="7"/>
  </r>
  <r>
    <s v="P101"/>
    <s v="Sai"/>
    <x v="0"/>
    <n v="13"/>
    <x v="0"/>
    <x v="4"/>
    <x v="1"/>
    <s v="2024-09-20"/>
    <s v="2024-09-30"/>
    <s v="Cancer"/>
    <n v="52555"/>
    <s v="Card"/>
    <n v="10"/>
    <x v="2"/>
    <s v="Child"/>
    <x v="0"/>
    <x v="0"/>
    <x v="0"/>
    <x v="0"/>
  </r>
  <r>
    <s v="P102"/>
    <s v="Ira"/>
    <x v="1"/>
    <n v="29"/>
    <x v="2"/>
    <x v="6"/>
    <x v="2"/>
    <s v="2024-02-15"/>
    <s v="2024-02-20"/>
    <s v="Migraine"/>
    <n v="91631"/>
    <s v="Cash"/>
    <n v="5"/>
    <x v="2"/>
    <s v="Adult"/>
    <x v="0"/>
    <x v="1"/>
    <x v="0"/>
    <x v="1"/>
  </r>
  <r>
    <s v="P103"/>
    <s v="Vihaan"/>
    <x v="1"/>
    <n v="7"/>
    <x v="0"/>
    <x v="0"/>
    <x v="1"/>
    <s v="2024-09-17"/>
    <s v="2024-09-18"/>
    <s v="Heart Disease"/>
    <n v="83031"/>
    <s v="UPI"/>
    <n v="1"/>
    <x v="1"/>
    <s v="Child"/>
    <x v="0"/>
    <x v="0"/>
    <x v="0"/>
    <x v="0"/>
  </r>
  <r>
    <s v="P104"/>
    <s v="Vivaan"/>
    <x v="0"/>
    <n v="70"/>
    <x v="1"/>
    <x v="5"/>
    <x v="1"/>
    <s v="2024-04-24"/>
    <s v="2024-04-27"/>
    <s v="Fracture"/>
    <n v="9329"/>
    <s v="Cash"/>
    <n v="3"/>
    <x v="2"/>
    <s v="Senior"/>
    <x v="0"/>
    <x v="7"/>
    <x v="0"/>
    <x v="5"/>
  </r>
  <r>
    <s v="P105"/>
    <s v="Riya"/>
    <x v="1"/>
    <n v="38"/>
    <x v="0"/>
    <x v="2"/>
    <x v="2"/>
    <s v="2024-11-21"/>
    <s v="2024-11-24"/>
    <s v="Migraine"/>
    <n v="74422"/>
    <s v="Card"/>
    <n v="3"/>
    <x v="0"/>
    <s v="Adult"/>
    <x v="0"/>
    <x v="3"/>
    <x v="0"/>
    <x v="3"/>
  </r>
  <r>
    <s v="P106"/>
    <s v="Ira"/>
    <x v="0"/>
    <n v="46"/>
    <x v="1"/>
    <x v="4"/>
    <x v="2"/>
    <s v="2024-04-17"/>
    <s v="2024-04-26"/>
    <s v="Fracture"/>
    <n v="47010"/>
    <s v="UPI"/>
    <n v="9"/>
    <x v="2"/>
    <s v="Adult"/>
    <x v="0"/>
    <x v="7"/>
    <x v="0"/>
    <x v="5"/>
  </r>
  <r>
    <s v="P107"/>
    <s v="Sai"/>
    <x v="1"/>
    <n v="56"/>
    <x v="3"/>
    <x v="3"/>
    <x v="1"/>
    <s v="2024-12-13"/>
    <s v="2024-12-22"/>
    <s v="Heart Disease"/>
    <n v="45189"/>
    <s v="UPI"/>
    <n v="9"/>
    <x v="2"/>
    <s v="Adult"/>
    <x v="0"/>
    <x v="10"/>
    <x v="0"/>
    <x v="11"/>
  </r>
  <r>
    <s v="P108"/>
    <s v="Shaurya"/>
    <x v="1"/>
    <n v="56"/>
    <x v="1"/>
    <x v="6"/>
    <x v="0"/>
    <s v="2024-03-22"/>
    <s v="2024-03-29"/>
    <s v="Fever"/>
    <n v="76044"/>
    <s v="UPI"/>
    <n v="7"/>
    <x v="0"/>
    <s v="Adult"/>
    <x v="0"/>
    <x v="11"/>
    <x v="0"/>
    <x v="7"/>
  </r>
  <r>
    <s v="P109"/>
    <s v="Sara"/>
    <x v="1"/>
    <n v="59"/>
    <x v="3"/>
    <x v="6"/>
    <x v="1"/>
    <s v="2024-12-11"/>
    <s v="2024-12-14"/>
    <s v="Migraine"/>
    <n v="79190"/>
    <s v="Card"/>
    <n v="3"/>
    <x v="2"/>
    <s v="Adult"/>
    <x v="0"/>
    <x v="10"/>
    <x v="0"/>
    <x v="11"/>
  </r>
  <r>
    <s v="P110"/>
    <s v="Meera"/>
    <x v="0"/>
    <n v="70"/>
    <x v="3"/>
    <x v="1"/>
    <x v="4"/>
    <s v="2024-03-08"/>
    <s v="2024-03-09"/>
    <s v="Cancer"/>
    <n v="53325"/>
    <s v="Cash"/>
    <n v="1"/>
    <x v="2"/>
    <s v="Senior"/>
    <x v="0"/>
    <x v="11"/>
    <x v="0"/>
    <x v="7"/>
  </r>
  <r>
    <s v="P111"/>
    <s v="Myra"/>
    <x v="0"/>
    <n v="18"/>
    <x v="3"/>
    <x v="4"/>
    <x v="0"/>
    <s v="2024-03-16"/>
    <s v="2024-03-19"/>
    <s v="Fever"/>
    <n v="40998"/>
    <s v="Cash"/>
    <n v="3"/>
    <x v="0"/>
    <s v="Adult"/>
    <x v="0"/>
    <x v="11"/>
    <x v="0"/>
    <x v="7"/>
  </r>
  <r>
    <s v="P112"/>
    <s v="Arjun"/>
    <x v="1"/>
    <n v="7"/>
    <x v="2"/>
    <x v="1"/>
    <x v="4"/>
    <s v="2024-03-21"/>
    <s v="2024-03-30"/>
    <s v="Fever"/>
    <n v="35028"/>
    <s v="Card"/>
    <n v="9"/>
    <x v="0"/>
    <s v="Child"/>
    <x v="0"/>
    <x v="11"/>
    <x v="0"/>
    <x v="7"/>
  </r>
  <r>
    <s v="P113"/>
    <s v="Sara"/>
    <x v="0"/>
    <n v="76"/>
    <x v="0"/>
    <x v="5"/>
    <x v="4"/>
    <s v="2024-01-14"/>
    <s v="2024-01-23"/>
    <s v="Diabetes"/>
    <n v="83661"/>
    <s v="Cash"/>
    <n v="9"/>
    <x v="1"/>
    <s v="Senior"/>
    <x v="0"/>
    <x v="8"/>
    <x v="0"/>
    <x v="8"/>
  </r>
  <r>
    <s v="P114"/>
    <s v="Sai"/>
    <x v="0"/>
    <n v="70"/>
    <x v="3"/>
    <x v="3"/>
    <x v="2"/>
    <s v="2024-10-30"/>
    <s v="2024-11-01"/>
    <s v="Fracture"/>
    <n v="77173"/>
    <s v="Cash"/>
    <n v="2"/>
    <x v="2"/>
    <s v="Senior"/>
    <x v="0"/>
    <x v="3"/>
    <x v="0"/>
    <x v="2"/>
  </r>
  <r>
    <s v="P115"/>
    <s v="Riya"/>
    <x v="0"/>
    <n v="41"/>
    <x v="6"/>
    <x v="3"/>
    <x v="1"/>
    <s v="2024-10-24"/>
    <s v="2024-11-02"/>
    <s v="Fever"/>
    <n v="13037"/>
    <s v="Card"/>
    <n v="9"/>
    <x v="0"/>
    <s v="Adult"/>
    <x v="0"/>
    <x v="3"/>
    <x v="0"/>
    <x v="2"/>
  </r>
  <r>
    <s v="P116"/>
    <s v="Navya"/>
    <x v="1"/>
    <n v="69"/>
    <x v="6"/>
    <x v="4"/>
    <x v="4"/>
    <s v="2024-06-11"/>
    <s v="2024-06-12"/>
    <s v="Fever"/>
    <n v="75372"/>
    <s v="Card"/>
    <n v="1"/>
    <x v="2"/>
    <s v="Senior"/>
    <x v="0"/>
    <x v="4"/>
    <x v="0"/>
    <x v="4"/>
  </r>
  <r>
    <s v="P117"/>
    <s v="Sara"/>
    <x v="1"/>
    <n v="84"/>
    <x v="4"/>
    <x v="0"/>
    <x v="3"/>
    <s v="2024-12-09"/>
    <s v="2024-12-15"/>
    <s v="Skin Allergy"/>
    <n v="12131"/>
    <s v="UPI"/>
    <n v="6"/>
    <x v="1"/>
    <s v="Senior"/>
    <x v="0"/>
    <x v="10"/>
    <x v="0"/>
    <x v="11"/>
  </r>
  <r>
    <s v="P118"/>
    <s v="Reyansh"/>
    <x v="1"/>
    <n v="9"/>
    <x v="6"/>
    <x v="1"/>
    <x v="1"/>
    <s v="2024-09-07"/>
    <s v="2024-09-11"/>
    <s v="Diabetes"/>
    <n v="83289"/>
    <s v="UPI"/>
    <n v="4"/>
    <x v="1"/>
    <s v="Child"/>
    <x v="0"/>
    <x v="0"/>
    <x v="0"/>
    <x v="0"/>
  </r>
  <r>
    <s v="P119"/>
    <s v="Diya"/>
    <x v="1"/>
    <n v="62"/>
    <x v="2"/>
    <x v="1"/>
    <x v="4"/>
    <s v="2024-07-12"/>
    <s v="2024-07-17"/>
    <s v="Heart Disease"/>
    <n v="20117"/>
    <s v="Cash"/>
    <n v="5"/>
    <x v="0"/>
    <s v="Senior"/>
    <x v="0"/>
    <x v="9"/>
    <x v="0"/>
    <x v="10"/>
  </r>
  <r>
    <s v="P120"/>
    <s v="Vivaan"/>
    <x v="1"/>
    <n v="46"/>
    <x v="1"/>
    <x v="3"/>
    <x v="2"/>
    <s v="2024-12-20"/>
    <s v="2024-12-30"/>
    <s v="Migraine"/>
    <n v="67042"/>
    <s v="UPI"/>
    <n v="10"/>
    <x v="0"/>
    <s v="Adult"/>
    <x v="0"/>
    <x v="10"/>
    <x v="0"/>
    <x v="11"/>
  </r>
  <r>
    <s v="P121"/>
    <s v="Anaya"/>
    <x v="1"/>
    <n v="78"/>
    <x v="1"/>
    <x v="6"/>
    <x v="0"/>
    <s v="2024-06-29"/>
    <s v="2024-07-04"/>
    <s v="Skin Allergy"/>
    <n v="49268"/>
    <s v="Card"/>
    <n v="5"/>
    <x v="0"/>
    <s v="Senior"/>
    <x v="0"/>
    <x v="9"/>
    <x v="0"/>
    <x v="4"/>
  </r>
  <r>
    <s v="P122"/>
    <s v="Myra"/>
    <x v="0"/>
    <n v="48"/>
    <x v="5"/>
    <x v="2"/>
    <x v="2"/>
    <s v="2024-03-24"/>
    <s v="2024-04-01"/>
    <s v="Fracture"/>
    <n v="10836"/>
    <s v="Card"/>
    <n v="8"/>
    <x v="0"/>
    <s v="Adult"/>
    <x v="0"/>
    <x v="7"/>
    <x v="0"/>
    <x v="7"/>
  </r>
  <r>
    <s v="P123"/>
    <s v="Riya"/>
    <x v="1"/>
    <n v="73"/>
    <x v="5"/>
    <x v="2"/>
    <x v="2"/>
    <s v="2024-01-06"/>
    <s v="2024-01-08"/>
    <s v="Fever"/>
    <n v="73595"/>
    <s v="Cash"/>
    <n v="2"/>
    <x v="2"/>
    <s v="Senior"/>
    <x v="0"/>
    <x v="8"/>
    <x v="0"/>
    <x v="8"/>
  </r>
  <r>
    <s v="P124"/>
    <s v="Ishaan"/>
    <x v="1"/>
    <n v="73"/>
    <x v="1"/>
    <x v="2"/>
    <x v="0"/>
    <s v="2024-05-28"/>
    <s v="2024-06-05"/>
    <s v="Migraine"/>
    <n v="95525"/>
    <s v="UPI"/>
    <n v="8"/>
    <x v="0"/>
    <s v="Senior"/>
    <x v="0"/>
    <x v="4"/>
    <x v="0"/>
    <x v="9"/>
  </r>
  <r>
    <s v="P125"/>
    <s v="Aarav"/>
    <x v="1"/>
    <n v="68"/>
    <x v="5"/>
    <x v="1"/>
    <x v="0"/>
    <s v="2024-04-24"/>
    <s v="2024-04-29"/>
    <s v="Diabetes"/>
    <n v="9859"/>
    <s v="Cash"/>
    <n v="5"/>
    <x v="2"/>
    <s v="Senior"/>
    <x v="0"/>
    <x v="7"/>
    <x v="0"/>
    <x v="5"/>
  </r>
  <r>
    <s v="P126"/>
    <s v="Anika"/>
    <x v="0"/>
    <n v="82"/>
    <x v="2"/>
    <x v="2"/>
    <x v="0"/>
    <s v="2024-04-02"/>
    <s v="2024-04-10"/>
    <s v="Migraine"/>
    <n v="74330"/>
    <s v="Card"/>
    <n v="8"/>
    <x v="1"/>
    <s v="Senior"/>
    <x v="0"/>
    <x v="7"/>
    <x v="0"/>
    <x v="5"/>
  </r>
  <r>
    <s v="P127"/>
    <s v="Anaya"/>
    <x v="0"/>
    <n v="76"/>
    <x v="4"/>
    <x v="6"/>
    <x v="0"/>
    <s v="2024-11-13"/>
    <s v="2024-11-19"/>
    <s v="Fever"/>
    <n v="60176"/>
    <s v="Card"/>
    <n v="6"/>
    <x v="0"/>
    <s v="Senior"/>
    <x v="0"/>
    <x v="3"/>
    <x v="0"/>
    <x v="3"/>
  </r>
  <r>
    <s v="P128"/>
    <s v="Ira"/>
    <x v="1"/>
    <n v="12"/>
    <x v="0"/>
    <x v="2"/>
    <x v="5"/>
    <s v="2024-05-13"/>
    <s v="2024-05-22"/>
    <s v="Diabetes"/>
    <n v="19425"/>
    <s v="UPI"/>
    <n v="9"/>
    <x v="2"/>
    <s v="Child"/>
    <x v="0"/>
    <x v="5"/>
    <x v="0"/>
    <x v="9"/>
  </r>
  <r>
    <s v="P129"/>
    <s v="Navya"/>
    <x v="0"/>
    <n v="5"/>
    <x v="2"/>
    <x v="5"/>
    <x v="3"/>
    <s v="2024-11-27"/>
    <s v="2024-12-04"/>
    <s v="Heart Disease"/>
    <n v="22801"/>
    <s v="UPI"/>
    <n v="7"/>
    <x v="2"/>
    <s v="Child"/>
    <x v="0"/>
    <x v="10"/>
    <x v="0"/>
    <x v="3"/>
  </r>
  <r>
    <s v="P130"/>
    <s v="Arjun"/>
    <x v="0"/>
    <n v="44"/>
    <x v="5"/>
    <x v="4"/>
    <x v="1"/>
    <s v="2024-12-04"/>
    <s v="2024-12-11"/>
    <s v="Fracture"/>
    <n v="67222"/>
    <s v="UPI"/>
    <n v="7"/>
    <x v="0"/>
    <s v="Adult"/>
    <x v="0"/>
    <x v="10"/>
    <x v="0"/>
    <x v="11"/>
  </r>
  <r>
    <s v="P131"/>
    <s v="Arjun"/>
    <x v="0"/>
    <n v="42"/>
    <x v="6"/>
    <x v="5"/>
    <x v="5"/>
    <s v="2024-01-31"/>
    <s v="2024-02-08"/>
    <s v="Fever"/>
    <n v="25177"/>
    <s v="Card"/>
    <n v="8"/>
    <x v="1"/>
    <s v="Adult"/>
    <x v="0"/>
    <x v="1"/>
    <x v="0"/>
    <x v="8"/>
  </r>
  <r>
    <s v="P132"/>
    <s v="Sara"/>
    <x v="1"/>
    <n v="75"/>
    <x v="1"/>
    <x v="2"/>
    <x v="3"/>
    <s v="2024-01-18"/>
    <s v="2024-01-19"/>
    <s v="Migraine"/>
    <n v="77005"/>
    <s v="UPI"/>
    <n v="1"/>
    <x v="2"/>
    <s v="Senior"/>
    <x v="0"/>
    <x v="8"/>
    <x v="0"/>
    <x v="8"/>
  </r>
  <r>
    <s v="P133"/>
    <s v="Vihaan"/>
    <x v="0"/>
    <n v="41"/>
    <x v="5"/>
    <x v="0"/>
    <x v="4"/>
    <s v="2024-04-27"/>
    <s v="2024-05-07"/>
    <s v="Heart Disease"/>
    <n v="80667"/>
    <s v="Card"/>
    <n v="10"/>
    <x v="2"/>
    <s v="Adult"/>
    <x v="0"/>
    <x v="5"/>
    <x v="0"/>
    <x v="5"/>
  </r>
  <r>
    <s v="P134"/>
    <s v="Riya"/>
    <x v="0"/>
    <n v="53"/>
    <x v="4"/>
    <x v="2"/>
    <x v="2"/>
    <s v="2024-05-22"/>
    <s v="2024-05-30"/>
    <s v="Heart Disease"/>
    <n v="96085"/>
    <s v="Cash"/>
    <n v="8"/>
    <x v="1"/>
    <s v="Adult"/>
    <x v="0"/>
    <x v="5"/>
    <x v="0"/>
    <x v="9"/>
  </r>
  <r>
    <s v="P135"/>
    <s v="Shaurya"/>
    <x v="0"/>
    <n v="52"/>
    <x v="3"/>
    <x v="2"/>
    <x v="4"/>
    <s v="2024-12-09"/>
    <s v="2024-12-17"/>
    <s v="Fracture"/>
    <n v="15678"/>
    <s v="UPI"/>
    <n v="8"/>
    <x v="2"/>
    <s v="Adult"/>
    <x v="0"/>
    <x v="10"/>
    <x v="0"/>
    <x v="11"/>
  </r>
  <r>
    <s v="P136"/>
    <s v="Vivaan"/>
    <x v="1"/>
    <n v="7"/>
    <x v="1"/>
    <x v="0"/>
    <x v="3"/>
    <s v="2024-04-01"/>
    <s v="2024-04-05"/>
    <s v="Diabetes"/>
    <n v="13957"/>
    <s v="Card"/>
    <n v="4"/>
    <x v="1"/>
    <s v="Child"/>
    <x v="0"/>
    <x v="7"/>
    <x v="0"/>
    <x v="5"/>
  </r>
  <r>
    <s v="P137"/>
    <s v="Anaya"/>
    <x v="0"/>
    <n v="72"/>
    <x v="5"/>
    <x v="6"/>
    <x v="3"/>
    <s v="2024-01-25"/>
    <s v="2024-02-02"/>
    <s v="Migraine"/>
    <n v="41080"/>
    <s v="Cash"/>
    <n v="8"/>
    <x v="1"/>
    <s v="Senior"/>
    <x v="0"/>
    <x v="1"/>
    <x v="0"/>
    <x v="8"/>
  </r>
  <r>
    <s v="P138"/>
    <s v="Ishaan"/>
    <x v="0"/>
    <n v="37"/>
    <x v="3"/>
    <x v="0"/>
    <x v="1"/>
    <s v="2024-11-30"/>
    <s v="2024-12-06"/>
    <s v="Skin Allergy"/>
    <n v="50156"/>
    <s v="Cash"/>
    <n v="6"/>
    <x v="1"/>
    <s v="Adult"/>
    <x v="0"/>
    <x v="10"/>
    <x v="0"/>
    <x v="3"/>
  </r>
  <r>
    <s v="P139"/>
    <s v="Shaurya"/>
    <x v="1"/>
    <n v="37"/>
    <x v="2"/>
    <x v="5"/>
    <x v="0"/>
    <s v="2024-02-18"/>
    <s v="2024-02-27"/>
    <s v="Fever"/>
    <n v="43197"/>
    <s v="UPI"/>
    <n v="9"/>
    <x v="0"/>
    <s v="Adult"/>
    <x v="0"/>
    <x v="1"/>
    <x v="0"/>
    <x v="1"/>
  </r>
  <r>
    <s v="P140"/>
    <s v="Sara"/>
    <x v="1"/>
    <n v="1"/>
    <x v="5"/>
    <x v="4"/>
    <x v="5"/>
    <s v="2024-03-13"/>
    <s v="2024-03-22"/>
    <s v="Migraine"/>
    <n v="89480"/>
    <s v="Cash"/>
    <n v="9"/>
    <x v="0"/>
    <s v="Child"/>
    <x v="0"/>
    <x v="11"/>
    <x v="0"/>
    <x v="7"/>
  </r>
  <r>
    <s v="P141"/>
    <s v="Arjun"/>
    <x v="0"/>
    <n v="47"/>
    <x v="1"/>
    <x v="6"/>
    <x v="1"/>
    <s v="2024-03-24"/>
    <s v="2024-03-26"/>
    <s v="Diabetes"/>
    <n v="76327"/>
    <s v="Cash"/>
    <n v="2"/>
    <x v="1"/>
    <s v="Adult"/>
    <x v="0"/>
    <x v="11"/>
    <x v="0"/>
    <x v="7"/>
  </r>
  <r>
    <s v="P142"/>
    <s v="Anaya"/>
    <x v="0"/>
    <n v="84"/>
    <x v="0"/>
    <x v="3"/>
    <x v="4"/>
    <s v="2024-09-15"/>
    <s v="2024-09-20"/>
    <s v="Diabetes"/>
    <n v="85576"/>
    <s v="Cash"/>
    <n v="5"/>
    <x v="2"/>
    <s v="Senior"/>
    <x v="0"/>
    <x v="0"/>
    <x v="0"/>
    <x v="0"/>
  </r>
  <r>
    <s v="P143"/>
    <s v="Navya"/>
    <x v="1"/>
    <n v="49"/>
    <x v="3"/>
    <x v="5"/>
    <x v="5"/>
    <s v="2024-09-18"/>
    <s v="2024-09-25"/>
    <s v="Fracture"/>
    <n v="28169"/>
    <s v="Card"/>
    <n v="7"/>
    <x v="1"/>
    <s v="Adult"/>
    <x v="0"/>
    <x v="0"/>
    <x v="0"/>
    <x v="0"/>
  </r>
  <r>
    <s v="P144"/>
    <s v="Anika"/>
    <x v="1"/>
    <n v="63"/>
    <x v="3"/>
    <x v="1"/>
    <x v="5"/>
    <s v="2024-08-13"/>
    <s v="2024-08-23"/>
    <s v="Heart Disease"/>
    <n v="36341"/>
    <s v="Card"/>
    <n v="10"/>
    <x v="1"/>
    <s v="Senior"/>
    <x v="0"/>
    <x v="6"/>
    <x v="0"/>
    <x v="6"/>
  </r>
  <r>
    <s v="P145"/>
    <s v="Aditya"/>
    <x v="0"/>
    <n v="81"/>
    <x v="0"/>
    <x v="4"/>
    <x v="1"/>
    <s v="2024-08-11"/>
    <s v="2024-08-15"/>
    <s v="Skin Allergy"/>
    <n v="14450"/>
    <s v="Card"/>
    <n v="4"/>
    <x v="0"/>
    <s v="Senior"/>
    <x v="0"/>
    <x v="6"/>
    <x v="0"/>
    <x v="6"/>
  </r>
  <r>
    <s v="P146"/>
    <s v="Ishaan"/>
    <x v="1"/>
    <n v="70"/>
    <x v="1"/>
    <x v="3"/>
    <x v="1"/>
    <s v="2024-06-23"/>
    <s v="2024-06-24"/>
    <s v="Skin Allergy"/>
    <n v="39939"/>
    <s v="Cash"/>
    <n v="1"/>
    <x v="0"/>
    <s v="Senior"/>
    <x v="0"/>
    <x v="4"/>
    <x v="0"/>
    <x v="4"/>
  </r>
  <r>
    <s v="P147"/>
    <s v="Aarav"/>
    <x v="0"/>
    <n v="39"/>
    <x v="0"/>
    <x v="3"/>
    <x v="3"/>
    <s v="2024-10-17"/>
    <s v="2024-10-25"/>
    <s v="Cancer"/>
    <n v="79702"/>
    <s v="Card"/>
    <n v="8"/>
    <x v="0"/>
    <s v="Adult"/>
    <x v="0"/>
    <x v="2"/>
    <x v="0"/>
    <x v="2"/>
  </r>
  <r>
    <s v="P148"/>
    <s v="Myra"/>
    <x v="0"/>
    <n v="52"/>
    <x v="5"/>
    <x v="2"/>
    <x v="0"/>
    <s v="2024-12-06"/>
    <s v="2024-12-10"/>
    <s v="Migraine"/>
    <n v="85588"/>
    <s v="Cash"/>
    <n v="4"/>
    <x v="0"/>
    <s v="Adult"/>
    <x v="0"/>
    <x v="10"/>
    <x v="0"/>
    <x v="11"/>
  </r>
  <r>
    <s v="P149"/>
    <s v="Diya"/>
    <x v="1"/>
    <n v="48"/>
    <x v="6"/>
    <x v="6"/>
    <x v="4"/>
    <s v="2024-03-15"/>
    <s v="2024-03-23"/>
    <s v="Heart Disease"/>
    <n v="70059"/>
    <s v="UPI"/>
    <n v="8"/>
    <x v="0"/>
    <s v="Adult"/>
    <x v="0"/>
    <x v="11"/>
    <x v="0"/>
    <x v="7"/>
  </r>
  <r>
    <s v="P150"/>
    <s v="Riya"/>
    <x v="1"/>
    <n v="54"/>
    <x v="6"/>
    <x v="5"/>
    <x v="4"/>
    <s v="2024-06-03"/>
    <s v="2024-06-05"/>
    <s v="Fracture"/>
    <n v="77957"/>
    <s v="Cash"/>
    <n v="2"/>
    <x v="1"/>
    <s v="Adult"/>
    <x v="0"/>
    <x v="4"/>
    <x v="0"/>
    <x v="4"/>
  </r>
  <r>
    <s v="P151"/>
    <s v="Ishaan"/>
    <x v="1"/>
    <n v="3"/>
    <x v="6"/>
    <x v="3"/>
    <x v="0"/>
    <s v="2024-12-01"/>
    <s v="2024-12-07"/>
    <s v="Fracture"/>
    <n v="82750"/>
    <s v="Card"/>
    <n v="6"/>
    <x v="1"/>
    <s v="Child"/>
    <x v="0"/>
    <x v="10"/>
    <x v="0"/>
    <x v="11"/>
  </r>
  <r>
    <s v="P152"/>
    <s v="Anika"/>
    <x v="1"/>
    <n v="45"/>
    <x v="6"/>
    <x v="6"/>
    <x v="5"/>
    <s v="2024-07-31"/>
    <s v="2024-08-09"/>
    <s v="Diabetes"/>
    <n v="58247"/>
    <s v="UPI"/>
    <n v="9"/>
    <x v="2"/>
    <s v="Adult"/>
    <x v="0"/>
    <x v="6"/>
    <x v="0"/>
    <x v="10"/>
  </r>
  <r>
    <s v="P153"/>
    <s v="Navya"/>
    <x v="1"/>
    <n v="61"/>
    <x v="5"/>
    <x v="3"/>
    <x v="4"/>
    <s v="2024-11-24"/>
    <s v="2024-12-04"/>
    <s v="Cancer"/>
    <n v="29878"/>
    <s v="UPI"/>
    <n v="10"/>
    <x v="1"/>
    <s v="Senior"/>
    <x v="0"/>
    <x v="10"/>
    <x v="0"/>
    <x v="3"/>
  </r>
  <r>
    <s v="P154"/>
    <s v="Myra"/>
    <x v="0"/>
    <n v="21"/>
    <x v="2"/>
    <x v="2"/>
    <x v="5"/>
    <s v="2024-03-02"/>
    <s v="2024-03-10"/>
    <s v="Heart Disease"/>
    <n v="81075"/>
    <s v="UPI"/>
    <n v="8"/>
    <x v="2"/>
    <s v="Adult"/>
    <x v="0"/>
    <x v="11"/>
    <x v="0"/>
    <x v="7"/>
  </r>
  <r>
    <s v="P155"/>
    <s v="Aadhya"/>
    <x v="1"/>
    <n v="68"/>
    <x v="1"/>
    <x v="6"/>
    <x v="1"/>
    <s v="2024-07-07"/>
    <s v="2024-07-16"/>
    <s v="Fracture"/>
    <n v="31506"/>
    <s v="UPI"/>
    <n v="9"/>
    <x v="0"/>
    <s v="Senior"/>
    <x v="0"/>
    <x v="9"/>
    <x v="0"/>
    <x v="10"/>
  </r>
  <r>
    <s v="P156"/>
    <s v="Vivaan"/>
    <x v="1"/>
    <n v="10"/>
    <x v="0"/>
    <x v="6"/>
    <x v="5"/>
    <s v="2024-05-10"/>
    <s v="2024-05-14"/>
    <s v="Migraine"/>
    <n v="91240"/>
    <s v="Card"/>
    <n v="4"/>
    <x v="1"/>
    <s v="Child"/>
    <x v="0"/>
    <x v="5"/>
    <x v="0"/>
    <x v="9"/>
  </r>
  <r>
    <s v="P157"/>
    <s v="Myra"/>
    <x v="1"/>
    <n v="81"/>
    <x v="4"/>
    <x v="6"/>
    <x v="4"/>
    <s v="2024-01-19"/>
    <s v="2024-01-28"/>
    <s v="Skin Allergy"/>
    <n v="49945"/>
    <s v="UPI"/>
    <n v="9"/>
    <x v="2"/>
    <s v="Senior"/>
    <x v="0"/>
    <x v="8"/>
    <x v="0"/>
    <x v="8"/>
  </r>
  <r>
    <s v="P158"/>
    <s v="Krishna"/>
    <x v="1"/>
    <n v="26"/>
    <x v="3"/>
    <x v="2"/>
    <x v="1"/>
    <s v="2024-02-17"/>
    <s v="2024-02-22"/>
    <s v="Skin Allergy"/>
    <n v="78424"/>
    <s v="Card"/>
    <n v="5"/>
    <x v="2"/>
    <s v="Adult"/>
    <x v="0"/>
    <x v="1"/>
    <x v="0"/>
    <x v="1"/>
  </r>
  <r>
    <s v="P159"/>
    <s v="Myra"/>
    <x v="1"/>
    <n v="49"/>
    <x v="4"/>
    <x v="1"/>
    <x v="4"/>
    <s v="2024-11-17"/>
    <s v="2024-11-24"/>
    <s v="Cancer"/>
    <n v="90761"/>
    <s v="Card"/>
    <n v="7"/>
    <x v="2"/>
    <s v="Adult"/>
    <x v="0"/>
    <x v="3"/>
    <x v="0"/>
    <x v="3"/>
  </r>
  <r>
    <s v="P160"/>
    <s v="Reyansh"/>
    <x v="1"/>
    <n v="32"/>
    <x v="5"/>
    <x v="2"/>
    <x v="4"/>
    <s v="2024-08-01"/>
    <s v="2024-08-02"/>
    <s v="Fever"/>
    <n v="51304"/>
    <s v="UPI"/>
    <n v="1"/>
    <x v="0"/>
    <s v="Adult"/>
    <x v="0"/>
    <x v="6"/>
    <x v="0"/>
    <x v="6"/>
  </r>
  <r>
    <s v="P161"/>
    <s v="Ira"/>
    <x v="0"/>
    <n v="65"/>
    <x v="4"/>
    <x v="0"/>
    <x v="1"/>
    <s v="2024-07-26"/>
    <s v="2024-07-28"/>
    <s v="Skin Allergy"/>
    <n v="77368"/>
    <s v="Card"/>
    <n v="2"/>
    <x v="0"/>
    <s v="Senior"/>
    <x v="0"/>
    <x v="9"/>
    <x v="0"/>
    <x v="10"/>
  </r>
  <r>
    <s v="P162"/>
    <s v="Aarav"/>
    <x v="0"/>
    <n v="63"/>
    <x v="5"/>
    <x v="3"/>
    <x v="5"/>
    <s v="2024-07-21"/>
    <s v="2024-07-27"/>
    <s v="Diabetes"/>
    <n v="49881"/>
    <s v="Cash"/>
    <n v="6"/>
    <x v="2"/>
    <s v="Senior"/>
    <x v="0"/>
    <x v="9"/>
    <x v="0"/>
    <x v="10"/>
  </r>
  <r>
    <s v="P163"/>
    <s v="Shaurya"/>
    <x v="0"/>
    <n v="60"/>
    <x v="4"/>
    <x v="5"/>
    <x v="3"/>
    <s v="2024-08-01"/>
    <s v="2024-08-03"/>
    <s v="Migraine"/>
    <n v="15169"/>
    <s v="Cash"/>
    <n v="2"/>
    <x v="2"/>
    <s v="Adult"/>
    <x v="0"/>
    <x v="6"/>
    <x v="0"/>
    <x v="6"/>
  </r>
  <r>
    <s v="P164"/>
    <s v="Sai"/>
    <x v="1"/>
    <n v="36"/>
    <x v="2"/>
    <x v="6"/>
    <x v="2"/>
    <s v="2024-05-19"/>
    <s v="2024-05-25"/>
    <s v="Diabetes"/>
    <n v="50691"/>
    <s v="Cash"/>
    <n v="6"/>
    <x v="1"/>
    <s v="Adult"/>
    <x v="0"/>
    <x v="5"/>
    <x v="0"/>
    <x v="9"/>
  </r>
  <r>
    <s v="P165"/>
    <s v="Reyansh"/>
    <x v="1"/>
    <n v="77"/>
    <x v="5"/>
    <x v="1"/>
    <x v="3"/>
    <s v="2024-05-02"/>
    <s v="2024-05-03"/>
    <s v="Fever"/>
    <n v="17303"/>
    <s v="Cash"/>
    <n v="1"/>
    <x v="0"/>
    <s v="Senior"/>
    <x v="0"/>
    <x v="5"/>
    <x v="0"/>
    <x v="9"/>
  </r>
  <r>
    <s v="P166"/>
    <s v="Anika"/>
    <x v="1"/>
    <n v="59"/>
    <x v="4"/>
    <x v="5"/>
    <x v="2"/>
    <s v="2024-03-17"/>
    <s v="2024-03-20"/>
    <s v="Diabetes"/>
    <n v="20391"/>
    <s v="Cash"/>
    <n v="3"/>
    <x v="2"/>
    <s v="Adult"/>
    <x v="0"/>
    <x v="11"/>
    <x v="0"/>
    <x v="7"/>
  </r>
  <r>
    <s v="P167"/>
    <s v="Anika"/>
    <x v="1"/>
    <n v="47"/>
    <x v="2"/>
    <x v="6"/>
    <x v="3"/>
    <s v="2024-12-10"/>
    <s v="2024-12-15"/>
    <s v="Heart Disease"/>
    <n v="41480"/>
    <s v="UPI"/>
    <n v="5"/>
    <x v="2"/>
    <s v="Adult"/>
    <x v="0"/>
    <x v="10"/>
    <x v="0"/>
    <x v="11"/>
  </r>
  <r>
    <s v="P168"/>
    <s v="Arjun"/>
    <x v="1"/>
    <n v="77"/>
    <x v="0"/>
    <x v="5"/>
    <x v="4"/>
    <s v="2024-06-25"/>
    <s v="2024-07-02"/>
    <s v="Migraine"/>
    <n v="30910"/>
    <s v="Card"/>
    <n v="7"/>
    <x v="2"/>
    <s v="Senior"/>
    <x v="0"/>
    <x v="9"/>
    <x v="0"/>
    <x v="4"/>
  </r>
  <r>
    <s v="P169"/>
    <s v="Ira"/>
    <x v="1"/>
    <n v="27"/>
    <x v="5"/>
    <x v="4"/>
    <x v="1"/>
    <s v="2024-09-20"/>
    <s v="2024-09-29"/>
    <s v="Fracture"/>
    <n v="34068"/>
    <s v="Cash"/>
    <n v="9"/>
    <x v="1"/>
    <s v="Adult"/>
    <x v="0"/>
    <x v="0"/>
    <x v="0"/>
    <x v="0"/>
  </r>
  <r>
    <s v="P170"/>
    <s v="Vivaan"/>
    <x v="0"/>
    <n v="71"/>
    <x v="2"/>
    <x v="1"/>
    <x v="4"/>
    <s v="2024-05-07"/>
    <s v="2024-05-14"/>
    <s v="Migraine"/>
    <n v="89214"/>
    <s v="Card"/>
    <n v="7"/>
    <x v="1"/>
    <s v="Senior"/>
    <x v="0"/>
    <x v="5"/>
    <x v="0"/>
    <x v="9"/>
  </r>
  <r>
    <s v="P171"/>
    <s v="Aadhya"/>
    <x v="0"/>
    <n v="83"/>
    <x v="5"/>
    <x v="6"/>
    <x v="3"/>
    <s v="2024-06-16"/>
    <s v="2024-06-21"/>
    <s v="Diabetes"/>
    <n v="56597"/>
    <s v="UPI"/>
    <n v="5"/>
    <x v="1"/>
    <s v="Senior"/>
    <x v="0"/>
    <x v="4"/>
    <x v="0"/>
    <x v="4"/>
  </r>
  <r>
    <s v="P172"/>
    <s v="Sara"/>
    <x v="1"/>
    <n v="4"/>
    <x v="0"/>
    <x v="1"/>
    <x v="4"/>
    <s v="2024-06-27"/>
    <s v="2024-07-02"/>
    <s v="Skin Allergy"/>
    <n v="36577"/>
    <s v="UPI"/>
    <n v="5"/>
    <x v="0"/>
    <s v="Child"/>
    <x v="0"/>
    <x v="9"/>
    <x v="0"/>
    <x v="4"/>
  </r>
  <r>
    <s v="P173"/>
    <s v="Aadhya"/>
    <x v="1"/>
    <n v="73"/>
    <x v="1"/>
    <x v="1"/>
    <x v="4"/>
    <s v="2024-12-29"/>
    <s v="2025-01-07"/>
    <s v="Fever"/>
    <n v="79210"/>
    <s v="Card"/>
    <n v="9"/>
    <x v="0"/>
    <s v="Senior"/>
    <x v="1"/>
    <x v="8"/>
    <x v="0"/>
    <x v="11"/>
  </r>
  <r>
    <s v="P174"/>
    <s v="Meera"/>
    <x v="1"/>
    <n v="41"/>
    <x v="2"/>
    <x v="3"/>
    <x v="1"/>
    <s v="2024-01-23"/>
    <s v="2024-02-01"/>
    <s v="Fever"/>
    <n v="99114"/>
    <s v="Cash"/>
    <n v="9"/>
    <x v="0"/>
    <s v="Adult"/>
    <x v="0"/>
    <x v="1"/>
    <x v="0"/>
    <x v="8"/>
  </r>
  <r>
    <s v="P175"/>
    <s v="Aditya"/>
    <x v="1"/>
    <n v="43"/>
    <x v="4"/>
    <x v="1"/>
    <x v="2"/>
    <s v="2024-12-06"/>
    <s v="2024-12-16"/>
    <s v="Diabetes"/>
    <n v="42398"/>
    <s v="UPI"/>
    <n v="10"/>
    <x v="0"/>
    <s v="Adult"/>
    <x v="0"/>
    <x v="10"/>
    <x v="0"/>
    <x v="11"/>
  </r>
  <r>
    <s v="P176"/>
    <s v="Aadhya"/>
    <x v="0"/>
    <n v="77"/>
    <x v="0"/>
    <x v="6"/>
    <x v="5"/>
    <s v="2024-08-12"/>
    <s v="2024-08-22"/>
    <s v="Skin Allergy"/>
    <n v="28556"/>
    <s v="Card"/>
    <n v="10"/>
    <x v="1"/>
    <s v="Senior"/>
    <x v="0"/>
    <x v="6"/>
    <x v="0"/>
    <x v="6"/>
  </r>
  <r>
    <s v="P177"/>
    <s v="Krishna"/>
    <x v="0"/>
    <n v="65"/>
    <x v="3"/>
    <x v="5"/>
    <x v="1"/>
    <s v="2024-10-29"/>
    <s v="2024-11-06"/>
    <s v="Skin Allergy"/>
    <n v="54200"/>
    <s v="UPI"/>
    <n v="8"/>
    <x v="2"/>
    <s v="Senior"/>
    <x v="0"/>
    <x v="3"/>
    <x v="0"/>
    <x v="2"/>
  </r>
  <r>
    <s v="P178"/>
    <s v="Anika"/>
    <x v="0"/>
    <n v="26"/>
    <x v="6"/>
    <x v="2"/>
    <x v="2"/>
    <s v="2024-12-20"/>
    <s v="2024-12-24"/>
    <s v="Migraine"/>
    <n v="29812"/>
    <s v="UPI"/>
    <n v="4"/>
    <x v="1"/>
    <s v="Adult"/>
    <x v="0"/>
    <x v="10"/>
    <x v="0"/>
    <x v="11"/>
  </r>
  <r>
    <s v="P179"/>
    <s v="Navya"/>
    <x v="1"/>
    <n v="24"/>
    <x v="1"/>
    <x v="4"/>
    <x v="3"/>
    <s v="2024-07-22"/>
    <s v="2024-07-30"/>
    <s v="Fever"/>
    <n v="37270"/>
    <s v="Cash"/>
    <n v="8"/>
    <x v="1"/>
    <s v="Adult"/>
    <x v="0"/>
    <x v="9"/>
    <x v="0"/>
    <x v="10"/>
  </r>
  <r>
    <s v="P180"/>
    <s v="Sai"/>
    <x v="0"/>
    <n v="46"/>
    <x v="3"/>
    <x v="3"/>
    <x v="3"/>
    <s v="2024-09-28"/>
    <s v="2024-10-03"/>
    <s v="Fever"/>
    <n v="85738"/>
    <s v="UPI"/>
    <n v="5"/>
    <x v="1"/>
    <s v="Adult"/>
    <x v="0"/>
    <x v="2"/>
    <x v="0"/>
    <x v="0"/>
  </r>
  <r>
    <s v="P181"/>
    <s v="Sara"/>
    <x v="0"/>
    <n v="14"/>
    <x v="6"/>
    <x v="0"/>
    <x v="2"/>
    <s v="2024-08-31"/>
    <s v="2024-09-06"/>
    <s v="Migraine"/>
    <n v="49833"/>
    <s v="Card"/>
    <n v="6"/>
    <x v="1"/>
    <s v="Child"/>
    <x v="0"/>
    <x v="0"/>
    <x v="0"/>
    <x v="6"/>
  </r>
  <r>
    <s v="P182"/>
    <s v="Ishaan"/>
    <x v="0"/>
    <n v="68"/>
    <x v="2"/>
    <x v="5"/>
    <x v="1"/>
    <s v="2024-06-13"/>
    <s v="2024-06-14"/>
    <s v="Migraine"/>
    <n v="55402"/>
    <s v="UPI"/>
    <n v="1"/>
    <x v="1"/>
    <s v="Senior"/>
    <x v="0"/>
    <x v="4"/>
    <x v="0"/>
    <x v="4"/>
  </r>
  <r>
    <s v="P183"/>
    <s v="Ishaan"/>
    <x v="0"/>
    <n v="63"/>
    <x v="5"/>
    <x v="6"/>
    <x v="0"/>
    <s v="2024-05-20"/>
    <s v="2024-05-27"/>
    <s v="Fever"/>
    <n v="24804"/>
    <s v="UPI"/>
    <n v="7"/>
    <x v="1"/>
    <s v="Senior"/>
    <x v="0"/>
    <x v="5"/>
    <x v="0"/>
    <x v="9"/>
  </r>
  <r>
    <s v="P184"/>
    <s v="Shaurya"/>
    <x v="0"/>
    <n v="4"/>
    <x v="1"/>
    <x v="6"/>
    <x v="5"/>
    <s v="2024-05-08"/>
    <s v="2024-05-13"/>
    <s v="Migraine"/>
    <n v="13843"/>
    <s v="Card"/>
    <n v="5"/>
    <x v="1"/>
    <s v="Child"/>
    <x v="0"/>
    <x v="5"/>
    <x v="0"/>
    <x v="9"/>
  </r>
  <r>
    <s v="P185"/>
    <s v="Riya"/>
    <x v="1"/>
    <n v="55"/>
    <x v="4"/>
    <x v="4"/>
    <x v="3"/>
    <s v="2024-11-16"/>
    <s v="2024-11-23"/>
    <s v="Migraine"/>
    <n v="44598"/>
    <s v="Cash"/>
    <n v="7"/>
    <x v="1"/>
    <s v="Adult"/>
    <x v="0"/>
    <x v="3"/>
    <x v="0"/>
    <x v="3"/>
  </r>
  <r>
    <s v="P186"/>
    <s v="Diya"/>
    <x v="0"/>
    <n v="57"/>
    <x v="5"/>
    <x v="4"/>
    <x v="3"/>
    <s v="2024-11-01"/>
    <s v="2024-11-10"/>
    <s v="Fever"/>
    <n v="41844"/>
    <s v="UPI"/>
    <n v="9"/>
    <x v="2"/>
    <s v="Adult"/>
    <x v="0"/>
    <x v="3"/>
    <x v="0"/>
    <x v="3"/>
  </r>
  <r>
    <s v="P187"/>
    <s v="Vivaan"/>
    <x v="0"/>
    <n v="65"/>
    <x v="2"/>
    <x v="4"/>
    <x v="2"/>
    <s v="2024-12-25"/>
    <s v="2024-12-27"/>
    <s v="Cancer"/>
    <n v="56561"/>
    <s v="Card"/>
    <n v="2"/>
    <x v="0"/>
    <s v="Senior"/>
    <x v="0"/>
    <x v="10"/>
    <x v="0"/>
    <x v="11"/>
  </r>
  <r>
    <s v="P188"/>
    <s v="Anaya"/>
    <x v="1"/>
    <n v="15"/>
    <x v="0"/>
    <x v="5"/>
    <x v="4"/>
    <s v="2024-09-28"/>
    <s v="2024-10-05"/>
    <s v="Cancer"/>
    <n v="36834"/>
    <s v="Cash"/>
    <n v="7"/>
    <x v="0"/>
    <s v="Child"/>
    <x v="0"/>
    <x v="2"/>
    <x v="0"/>
    <x v="0"/>
  </r>
  <r>
    <s v="P189"/>
    <s v="Riya"/>
    <x v="1"/>
    <n v="79"/>
    <x v="4"/>
    <x v="0"/>
    <x v="2"/>
    <s v="2024-02-22"/>
    <s v="2024-02-26"/>
    <s v="Cancer"/>
    <n v="35720"/>
    <s v="Card"/>
    <n v="4"/>
    <x v="2"/>
    <s v="Senior"/>
    <x v="0"/>
    <x v="1"/>
    <x v="0"/>
    <x v="1"/>
  </r>
  <r>
    <s v="P190"/>
    <s v="Myra"/>
    <x v="0"/>
    <n v="31"/>
    <x v="2"/>
    <x v="1"/>
    <x v="2"/>
    <s v="2024-09-22"/>
    <s v="2024-09-24"/>
    <s v="Cancer"/>
    <n v="83478"/>
    <s v="Cash"/>
    <n v="2"/>
    <x v="0"/>
    <s v="Adult"/>
    <x v="0"/>
    <x v="0"/>
    <x v="0"/>
    <x v="0"/>
  </r>
  <r>
    <s v="P191"/>
    <s v="Diya"/>
    <x v="1"/>
    <n v="78"/>
    <x v="5"/>
    <x v="3"/>
    <x v="1"/>
    <s v="2024-04-30"/>
    <s v="2024-05-06"/>
    <s v="Migraine"/>
    <n v="94314"/>
    <s v="UPI"/>
    <n v="6"/>
    <x v="1"/>
    <s v="Senior"/>
    <x v="0"/>
    <x v="5"/>
    <x v="0"/>
    <x v="5"/>
  </r>
  <r>
    <s v="P192"/>
    <s v="Ira"/>
    <x v="1"/>
    <n v="83"/>
    <x v="5"/>
    <x v="3"/>
    <x v="5"/>
    <s v="2024-10-10"/>
    <s v="2024-10-18"/>
    <s v="Fever"/>
    <n v="46274"/>
    <s v="Card"/>
    <n v="8"/>
    <x v="0"/>
    <s v="Senior"/>
    <x v="0"/>
    <x v="2"/>
    <x v="0"/>
    <x v="2"/>
  </r>
  <r>
    <s v="P193"/>
    <s v="Aarav"/>
    <x v="0"/>
    <n v="84"/>
    <x v="2"/>
    <x v="6"/>
    <x v="0"/>
    <s v="2024-08-22"/>
    <s v="2024-08-31"/>
    <s v="Skin Allergy"/>
    <n v="45728"/>
    <s v="Card"/>
    <n v="9"/>
    <x v="1"/>
    <s v="Senior"/>
    <x v="0"/>
    <x v="6"/>
    <x v="0"/>
    <x v="6"/>
  </r>
  <r>
    <s v="P194"/>
    <s v="Krishna"/>
    <x v="1"/>
    <n v="31"/>
    <x v="2"/>
    <x v="3"/>
    <x v="5"/>
    <s v="2024-07-02"/>
    <s v="2024-07-12"/>
    <s v="Fracture"/>
    <n v="41614"/>
    <s v="Card"/>
    <n v="10"/>
    <x v="1"/>
    <s v="Adult"/>
    <x v="0"/>
    <x v="9"/>
    <x v="0"/>
    <x v="10"/>
  </r>
  <r>
    <s v="P195"/>
    <s v="Ishaan"/>
    <x v="1"/>
    <n v="77"/>
    <x v="0"/>
    <x v="5"/>
    <x v="0"/>
    <s v="2024-10-26"/>
    <s v="2024-10-28"/>
    <s v="Cancer"/>
    <n v="74497"/>
    <s v="Card"/>
    <n v="2"/>
    <x v="2"/>
    <s v="Senior"/>
    <x v="0"/>
    <x v="2"/>
    <x v="0"/>
    <x v="2"/>
  </r>
  <r>
    <s v="P196"/>
    <s v="Meera"/>
    <x v="1"/>
    <n v="68"/>
    <x v="4"/>
    <x v="1"/>
    <x v="2"/>
    <s v="2024-11-24"/>
    <s v="2024-12-02"/>
    <s v="Fracture"/>
    <n v="43815"/>
    <s v="UPI"/>
    <n v="8"/>
    <x v="2"/>
    <s v="Senior"/>
    <x v="0"/>
    <x v="10"/>
    <x v="0"/>
    <x v="3"/>
  </r>
  <r>
    <s v="P197"/>
    <s v="Reyansh"/>
    <x v="1"/>
    <n v="46"/>
    <x v="5"/>
    <x v="0"/>
    <x v="0"/>
    <s v="2024-07-17"/>
    <s v="2024-07-24"/>
    <s v="Fracture"/>
    <n v="29909"/>
    <s v="UPI"/>
    <n v="7"/>
    <x v="0"/>
    <s v="Adult"/>
    <x v="0"/>
    <x v="9"/>
    <x v="0"/>
    <x v="10"/>
  </r>
  <r>
    <s v="P198"/>
    <s v="Reyansh"/>
    <x v="0"/>
    <n v="83"/>
    <x v="6"/>
    <x v="4"/>
    <x v="1"/>
    <s v="2024-04-24"/>
    <s v="2024-04-27"/>
    <s v="Skin Allergy"/>
    <n v="22457"/>
    <s v="Cash"/>
    <n v="3"/>
    <x v="2"/>
    <s v="Senior"/>
    <x v="0"/>
    <x v="7"/>
    <x v="0"/>
    <x v="5"/>
  </r>
  <r>
    <s v="P199"/>
    <s v="Navya"/>
    <x v="0"/>
    <n v="59"/>
    <x v="4"/>
    <x v="5"/>
    <x v="4"/>
    <s v="2024-01-13"/>
    <s v="2024-01-15"/>
    <s v="Cancer"/>
    <n v="83092"/>
    <s v="UPI"/>
    <n v="2"/>
    <x v="0"/>
    <s v="Adult"/>
    <x v="0"/>
    <x v="8"/>
    <x v="0"/>
    <x v="8"/>
  </r>
  <r>
    <s v="P200"/>
    <s v="Aarav"/>
    <x v="1"/>
    <n v="57"/>
    <x v="5"/>
    <x v="1"/>
    <x v="1"/>
    <s v="2024-03-19"/>
    <s v="2024-03-29"/>
    <s v="Fever"/>
    <n v="34871"/>
    <s v="UPI"/>
    <n v="10"/>
    <x v="2"/>
    <s v="Adult"/>
    <x v="0"/>
    <x v="11"/>
    <x v="0"/>
    <x v="7"/>
  </r>
  <r>
    <s v="P201"/>
    <s v="Ishaan"/>
    <x v="1"/>
    <n v="54"/>
    <x v="3"/>
    <x v="1"/>
    <x v="0"/>
    <s v="2024-06-03"/>
    <s v="2024-06-10"/>
    <s v="Skin Allergy"/>
    <n v="60624"/>
    <s v="Cash"/>
    <n v="7"/>
    <x v="2"/>
    <s v="Adult"/>
    <x v="0"/>
    <x v="4"/>
    <x v="0"/>
    <x v="4"/>
  </r>
  <r>
    <s v="P202"/>
    <s v="Krishna"/>
    <x v="1"/>
    <n v="8"/>
    <x v="2"/>
    <x v="0"/>
    <x v="2"/>
    <s v="2024-04-29"/>
    <s v="2024-05-04"/>
    <s v="Skin Allergy"/>
    <n v="35733"/>
    <s v="UPI"/>
    <n v="5"/>
    <x v="0"/>
    <s v="Child"/>
    <x v="0"/>
    <x v="5"/>
    <x v="0"/>
    <x v="5"/>
  </r>
  <r>
    <s v="P203"/>
    <s v="Aditya"/>
    <x v="0"/>
    <n v="31"/>
    <x v="0"/>
    <x v="2"/>
    <x v="3"/>
    <s v="2024-12-24"/>
    <s v="2025-01-01"/>
    <s v="Diabetes"/>
    <n v="47048"/>
    <s v="Cash"/>
    <n v="8"/>
    <x v="0"/>
    <s v="Adult"/>
    <x v="1"/>
    <x v="8"/>
    <x v="0"/>
    <x v="11"/>
  </r>
  <r>
    <s v="P204"/>
    <s v="Aadhya"/>
    <x v="0"/>
    <n v="79"/>
    <x v="3"/>
    <x v="4"/>
    <x v="5"/>
    <s v="2024-06-06"/>
    <s v="2024-06-12"/>
    <s v="Fever"/>
    <n v="31875"/>
    <s v="Card"/>
    <n v="6"/>
    <x v="0"/>
    <s v="Senior"/>
    <x v="0"/>
    <x v="4"/>
    <x v="0"/>
    <x v="4"/>
  </r>
  <r>
    <s v="P205"/>
    <s v="Krishna"/>
    <x v="1"/>
    <n v="47"/>
    <x v="2"/>
    <x v="5"/>
    <x v="1"/>
    <s v="2024-02-01"/>
    <s v="2024-02-09"/>
    <s v="Cancer"/>
    <n v="53081"/>
    <s v="Card"/>
    <n v="8"/>
    <x v="2"/>
    <s v="Adult"/>
    <x v="0"/>
    <x v="1"/>
    <x v="0"/>
    <x v="1"/>
  </r>
  <r>
    <s v="P206"/>
    <s v="Aadhya"/>
    <x v="1"/>
    <n v="84"/>
    <x v="2"/>
    <x v="2"/>
    <x v="2"/>
    <s v="2024-07-14"/>
    <s v="2024-07-17"/>
    <s v="Skin Allergy"/>
    <n v="63603"/>
    <s v="UPI"/>
    <n v="3"/>
    <x v="2"/>
    <s v="Senior"/>
    <x v="0"/>
    <x v="9"/>
    <x v="0"/>
    <x v="10"/>
  </r>
  <r>
    <s v="P207"/>
    <s v="Meera"/>
    <x v="0"/>
    <n v="7"/>
    <x v="1"/>
    <x v="5"/>
    <x v="5"/>
    <s v="2024-08-13"/>
    <s v="2024-08-19"/>
    <s v="Heart Disease"/>
    <n v="27244"/>
    <s v="Cash"/>
    <n v="6"/>
    <x v="1"/>
    <s v="Child"/>
    <x v="0"/>
    <x v="6"/>
    <x v="0"/>
    <x v="6"/>
  </r>
  <r>
    <s v="P208"/>
    <s v="Sai"/>
    <x v="1"/>
    <n v="44"/>
    <x v="5"/>
    <x v="1"/>
    <x v="4"/>
    <s v="2024-02-28"/>
    <s v="2024-03-02"/>
    <s v="Heart Disease"/>
    <n v="82981"/>
    <s v="Card"/>
    <n v="3"/>
    <x v="1"/>
    <s v="Adult"/>
    <x v="0"/>
    <x v="11"/>
    <x v="0"/>
    <x v="1"/>
  </r>
  <r>
    <s v="P209"/>
    <s v="Vihaan"/>
    <x v="0"/>
    <n v="46"/>
    <x v="0"/>
    <x v="0"/>
    <x v="1"/>
    <s v="2024-12-06"/>
    <s v="2024-12-12"/>
    <s v="Migraine"/>
    <n v="10964"/>
    <s v="UPI"/>
    <n v="6"/>
    <x v="2"/>
    <s v="Adult"/>
    <x v="0"/>
    <x v="10"/>
    <x v="0"/>
    <x v="11"/>
  </r>
  <r>
    <s v="P210"/>
    <s v="Ira"/>
    <x v="0"/>
    <n v="68"/>
    <x v="4"/>
    <x v="5"/>
    <x v="2"/>
    <s v="2024-10-19"/>
    <s v="2024-10-29"/>
    <s v="Skin Allergy"/>
    <n v="70039"/>
    <s v="Card"/>
    <n v="10"/>
    <x v="2"/>
    <s v="Senior"/>
    <x v="0"/>
    <x v="2"/>
    <x v="0"/>
    <x v="2"/>
  </r>
  <r>
    <s v="P211"/>
    <s v="Sara"/>
    <x v="0"/>
    <n v="44"/>
    <x v="3"/>
    <x v="4"/>
    <x v="3"/>
    <s v="2024-05-09"/>
    <s v="2024-05-16"/>
    <s v="Cancer"/>
    <n v="51832"/>
    <s v="Card"/>
    <n v="7"/>
    <x v="1"/>
    <s v="Adult"/>
    <x v="0"/>
    <x v="5"/>
    <x v="0"/>
    <x v="9"/>
  </r>
  <r>
    <s v="P212"/>
    <s v="Reyansh"/>
    <x v="1"/>
    <n v="22"/>
    <x v="5"/>
    <x v="3"/>
    <x v="4"/>
    <s v="2024-06-13"/>
    <s v="2024-06-18"/>
    <s v="Skin Allergy"/>
    <n v="79965"/>
    <s v="UPI"/>
    <n v="5"/>
    <x v="2"/>
    <s v="Adult"/>
    <x v="0"/>
    <x v="4"/>
    <x v="0"/>
    <x v="4"/>
  </r>
  <r>
    <s v="P213"/>
    <s v="Shaurya"/>
    <x v="0"/>
    <n v="26"/>
    <x v="2"/>
    <x v="5"/>
    <x v="4"/>
    <s v="2024-06-18"/>
    <s v="2024-06-26"/>
    <s v="Migraine"/>
    <n v="18721"/>
    <s v="Card"/>
    <n v="8"/>
    <x v="1"/>
    <s v="Adult"/>
    <x v="0"/>
    <x v="4"/>
    <x v="0"/>
    <x v="4"/>
  </r>
  <r>
    <s v="P214"/>
    <s v="Arjun"/>
    <x v="0"/>
    <n v="43"/>
    <x v="5"/>
    <x v="1"/>
    <x v="2"/>
    <s v="2024-11-02"/>
    <s v="2024-11-04"/>
    <s v="Cancer"/>
    <n v="62155"/>
    <s v="Cash"/>
    <n v="2"/>
    <x v="2"/>
    <s v="Adult"/>
    <x v="0"/>
    <x v="3"/>
    <x v="0"/>
    <x v="3"/>
  </r>
  <r>
    <s v="P215"/>
    <s v="Vivaan"/>
    <x v="0"/>
    <n v="4"/>
    <x v="2"/>
    <x v="6"/>
    <x v="0"/>
    <s v="2024-02-20"/>
    <s v="2024-02-24"/>
    <s v="Fracture"/>
    <n v="97218"/>
    <s v="Card"/>
    <n v="4"/>
    <x v="1"/>
    <s v="Child"/>
    <x v="0"/>
    <x v="1"/>
    <x v="0"/>
    <x v="1"/>
  </r>
  <r>
    <s v="P216"/>
    <s v="Anaya"/>
    <x v="0"/>
    <n v="55"/>
    <x v="2"/>
    <x v="0"/>
    <x v="1"/>
    <s v="2024-06-12"/>
    <s v="2024-06-14"/>
    <s v="Heart Disease"/>
    <n v="41677"/>
    <s v="Cash"/>
    <n v="2"/>
    <x v="2"/>
    <s v="Adult"/>
    <x v="0"/>
    <x v="4"/>
    <x v="0"/>
    <x v="4"/>
  </r>
  <r>
    <s v="P217"/>
    <s v="Reyansh"/>
    <x v="1"/>
    <n v="17"/>
    <x v="6"/>
    <x v="3"/>
    <x v="0"/>
    <s v="2024-09-20"/>
    <s v="2024-09-22"/>
    <s v="Fever"/>
    <n v="37428"/>
    <s v="Cash"/>
    <n v="2"/>
    <x v="2"/>
    <s v="Child"/>
    <x v="0"/>
    <x v="0"/>
    <x v="0"/>
    <x v="0"/>
  </r>
  <r>
    <s v="P218"/>
    <s v="Arjun"/>
    <x v="0"/>
    <n v="46"/>
    <x v="1"/>
    <x v="6"/>
    <x v="5"/>
    <s v="2024-09-22"/>
    <s v="2024-09-27"/>
    <s v="Fever"/>
    <n v="34719"/>
    <s v="Cash"/>
    <n v="5"/>
    <x v="0"/>
    <s v="Adult"/>
    <x v="0"/>
    <x v="0"/>
    <x v="0"/>
    <x v="0"/>
  </r>
  <r>
    <s v="P219"/>
    <s v="Krishna"/>
    <x v="1"/>
    <n v="17"/>
    <x v="1"/>
    <x v="4"/>
    <x v="2"/>
    <s v="2024-09-25"/>
    <s v="2024-09-30"/>
    <s v="Migraine"/>
    <n v="74196"/>
    <s v="Card"/>
    <n v="5"/>
    <x v="2"/>
    <s v="Child"/>
    <x v="0"/>
    <x v="0"/>
    <x v="0"/>
    <x v="0"/>
  </r>
  <r>
    <s v="P220"/>
    <s v="Sara"/>
    <x v="1"/>
    <n v="9"/>
    <x v="5"/>
    <x v="1"/>
    <x v="4"/>
    <s v="2024-06-05"/>
    <s v="2024-06-07"/>
    <s v="Migraine"/>
    <n v="28274"/>
    <s v="Card"/>
    <n v="2"/>
    <x v="2"/>
    <s v="Child"/>
    <x v="0"/>
    <x v="4"/>
    <x v="0"/>
    <x v="4"/>
  </r>
  <r>
    <s v="P221"/>
    <s v="Riya"/>
    <x v="1"/>
    <n v="6"/>
    <x v="4"/>
    <x v="5"/>
    <x v="3"/>
    <s v="2024-09-21"/>
    <s v="2024-09-25"/>
    <s v="Fever"/>
    <n v="18166"/>
    <s v="UPI"/>
    <n v="4"/>
    <x v="0"/>
    <s v="Child"/>
    <x v="0"/>
    <x v="0"/>
    <x v="0"/>
    <x v="0"/>
  </r>
  <r>
    <s v="P222"/>
    <s v="Anaya"/>
    <x v="1"/>
    <n v="36"/>
    <x v="3"/>
    <x v="0"/>
    <x v="3"/>
    <s v="2024-03-24"/>
    <s v="2024-04-03"/>
    <s v="Cancer"/>
    <n v="47045"/>
    <s v="Card"/>
    <n v="10"/>
    <x v="2"/>
    <s v="Adult"/>
    <x v="0"/>
    <x v="7"/>
    <x v="0"/>
    <x v="7"/>
  </r>
  <r>
    <s v="P223"/>
    <s v="Meera"/>
    <x v="0"/>
    <n v="71"/>
    <x v="6"/>
    <x v="5"/>
    <x v="3"/>
    <s v="2024-07-03"/>
    <s v="2024-07-07"/>
    <s v="Cancer"/>
    <n v="22007"/>
    <s v="Card"/>
    <n v="4"/>
    <x v="2"/>
    <s v="Senior"/>
    <x v="0"/>
    <x v="9"/>
    <x v="0"/>
    <x v="10"/>
  </r>
  <r>
    <s v="P224"/>
    <s v="Anika"/>
    <x v="0"/>
    <n v="28"/>
    <x v="1"/>
    <x v="3"/>
    <x v="5"/>
    <s v="2024-08-16"/>
    <s v="2024-08-25"/>
    <s v="Diabetes"/>
    <n v="50952"/>
    <s v="UPI"/>
    <n v="9"/>
    <x v="2"/>
    <s v="Adult"/>
    <x v="0"/>
    <x v="6"/>
    <x v="0"/>
    <x v="6"/>
  </r>
  <r>
    <s v="P225"/>
    <s v="Aadhya"/>
    <x v="1"/>
    <n v="67"/>
    <x v="5"/>
    <x v="2"/>
    <x v="1"/>
    <s v="2024-11-13"/>
    <s v="2024-11-18"/>
    <s v="Cancer"/>
    <n v="10611"/>
    <s v="Cash"/>
    <n v="5"/>
    <x v="1"/>
    <s v="Senior"/>
    <x v="0"/>
    <x v="3"/>
    <x v="0"/>
    <x v="3"/>
  </r>
  <r>
    <s v="P226"/>
    <s v="Arjun"/>
    <x v="0"/>
    <n v="65"/>
    <x v="5"/>
    <x v="1"/>
    <x v="2"/>
    <s v="2024-04-23"/>
    <s v="2024-05-01"/>
    <s v="Fever"/>
    <n v="81254"/>
    <s v="Card"/>
    <n v="8"/>
    <x v="0"/>
    <s v="Senior"/>
    <x v="0"/>
    <x v="5"/>
    <x v="0"/>
    <x v="5"/>
  </r>
  <r>
    <s v="P227"/>
    <s v="Meera"/>
    <x v="1"/>
    <n v="32"/>
    <x v="1"/>
    <x v="3"/>
    <x v="1"/>
    <s v="2024-07-21"/>
    <s v="2024-07-28"/>
    <s v="Cancer"/>
    <n v="90401"/>
    <s v="Card"/>
    <n v="7"/>
    <x v="2"/>
    <s v="Adult"/>
    <x v="0"/>
    <x v="9"/>
    <x v="0"/>
    <x v="10"/>
  </r>
  <r>
    <s v="P228"/>
    <s v="Meera"/>
    <x v="0"/>
    <n v="16"/>
    <x v="4"/>
    <x v="5"/>
    <x v="5"/>
    <s v="2024-02-29"/>
    <s v="2024-03-05"/>
    <s v="Fracture"/>
    <n v="46072"/>
    <s v="UPI"/>
    <n v="5"/>
    <x v="2"/>
    <s v="Child"/>
    <x v="0"/>
    <x v="11"/>
    <x v="0"/>
    <x v="1"/>
  </r>
  <r>
    <s v="P229"/>
    <s v="Riya"/>
    <x v="1"/>
    <n v="30"/>
    <x v="0"/>
    <x v="3"/>
    <x v="4"/>
    <s v="2024-01-13"/>
    <s v="2024-01-23"/>
    <s v="Heart Disease"/>
    <n v="30079"/>
    <s v="Card"/>
    <n v="10"/>
    <x v="1"/>
    <s v="Adult"/>
    <x v="0"/>
    <x v="8"/>
    <x v="0"/>
    <x v="8"/>
  </r>
  <r>
    <s v="P230"/>
    <s v="Krishna"/>
    <x v="1"/>
    <n v="71"/>
    <x v="2"/>
    <x v="4"/>
    <x v="0"/>
    <s v="2024-04-28"/>
    <s v="2024-05-01"/>
    <s v="Migraine"/>
    <n v="52448"/>
    <s v="Cash"/>
    <n v="3"/>
    <x v="1"/>
    <s v="Senior"/>
    <x v="0"/>
    <x v="5"/>
    <x v="0"/>
    <x v="5"/>
  </r>
  <r>
    <s v="P231"/>
    <s v="Riya"/>
    <x v="1"/>
    <n v="25"/>
    <x v="1"/>
    <x v="3"/>
    <x v="0"/>
    <s v="2024-01-29"/>
    <s v="2024-02-08"/>
    <s v="Cancer"/>
    <n v="71290"/>
    <s v="Card"/>
    <n v="10"/>
    <x v="0"/>
    <s v="Adult"/>
    <x v="0"/>
    <x v="1"/>
    <x v="0"/>
    <x v="8"/>
  </r>
  <r>
    <s v="P232"/>
    <s v="Meera"/>
    <x v="0"/>
    <n v="74"/>
    <x v="0"/>
    <x v="5"/>
    <x v="1"/>
    <s v="2024-05-06"/>
    <s v="2024-05-15"/>
    <s v="Migraine"/>
    <n v="28269"/>
    <s v="Card"/>
    <n v="9"/>
    <x v="1"/>
    <s v="Senior"/>
    <x v="0"/>
    <x v="5"/>
    <x v="0"/>
    <x v="9"/>
  </r>
  <r>
    <s v="P233"/>
    <s v="Aadhya"/>
    <x v="1"/>
    <n v="76"/>
    <x v="2"/>
    <x v="6"/>
    <x v="5"/>
    <s v="2024-08-05"/>
    <s v="2024-08-10"/>
    <s v="Fracture"/>
    <n v="31871"/>
    <s v="UPI"/>
    <n v="5"/>
    <x v="1"/>
    <s v="Senior"/>
    <x v="0"/>
    <x v="6"/>
    <x v="0"/>
    <x v="6"/>
  </r>
  <r>
    <s v="P234"/>
    <s v="Ishaan"/>
    <x v="1"/>
    <n v="5"/>
    <x v="0"/>
    <x v="6"/>
    <x v="0"/>
    <s v="2024-04-07"/>
    <s v="2024-04-15"/>
    <s v="Skin Allergy"/>
    <n v="65398"/>
    <s v="UPI"/>
    <n v="8"/>
    <x v="0"/>
    <s v="Child"/>
    <x v="0"/>
    <x v="7"/>
    <x v="0"/>
    <x v="5"/>
  </r>
  <r>
    <s v="P235"/>
    <s v="Vivaan"/>
    <x v="0"/>
    <n v="52"/>
    <x v="1"/>
    <x v="5"/>
    <x v="5"/>
    <s v="2024-05-07"/>
    <s v="2024-05-14"/>
    <s v="Diabetes"/>
    <n v="79476"/>
    <s v="UPI"/>
    <n v="7"/>
    <x v="0"/>
    <s v="Adult"/>
    <x v="0"/>
    <x v="5"/>
    <x v="0"/>
    <x v="9"/>
  </r>
  <r>
    <s v="P236"/>
    <s v="Ishaan"/>
    <x v="0"/>
    <n v="26"/>
    <x v="6"/>
    <x v="3"/>
    <x v="0"/>
    <s v="2024-06-28"/>
    <s v="2024-07-01"/>
    <s v="Fracture"/>
    <n v="21293"/>
    <s v="Card"/>
    <n v="3"/>
    <x v="2"/>
    <s v="Adult"/>
    <x v="0"/>
    <x v="9"/>
    <x v="0"/>
    <x v="4"/>
  </r>
  <r>
    <s v="P237"/>
    <s v="Aditya"/>
    <x v="0"/>
    <n v="26"/>
    <x v="1"/>
    <x v="3"/>
    <x v="1"/>
    <s v="2024-12-11"/>
    <s v="2024-12-21"/>
    <s v="Diabetes"/>
    <n v="51373"/>
    <s v="Card"/>
    <n v="10"/>
    <x v="2"/>
    <s v="Adult"/>
    <x v="0"/>
    <x v="10"/>
    <x v="0"/>
    <x v="11"/>
  </r>
  <r>
    <s v="P238"/>
    <s v="Aarav"/>
    <x v="1"/>
    <n v="45"/>
    <x v="3"/>
    <x v="3"/>
    <x v="3"/>
    <s v="2024-01-07"/>
    <s v="2024-01-08"/>
    <s v="Migraine"/>
    <n v="85507"/>
    <s v="Cash"/>
    <n v="1"/>
    <x v="1"/>
    <s v="Adult"/>
    <x v="0"/>
    <x v="8"/>
    <x v="0"/>
    <x v="8"/>
  </r>
  <r>
    <s v="P239"/>
    <s v="Krishna"/>
    <x v="0"/>
    <n v="73"/>
    <x v="5"/>
    <x v="4"/>
    <x v="5"/>
    <s v="2024-12-18"/>
    <s v="2024-12-19"/>
    <s v="Fracture"/>
    <n v="45898"/>
    <s v="Card"/>
    <n v="1"/>
    <x v="0"/>
    <s v="Senior"/>
    <x v="0"/>
    <x v="10"/>
    <x v="0"/>
    <x v="11"/>
  </r>
  <r>
    <s v="P240"/>
    <s v="Navya"/>
    <x v="0"/>
    <n v="65"/>
    <x v="3"/>
    <x v="5"/>
    <x v="5"/>
    <s v="2024-08-09"/>
    <s v="2024-08-18"/>
    <s v="Fracture"/>
    <n v="39997"/>
    <s v="Cash"/>
    <n v="9"/>
    <x v="0"/>
    <s v="Senior"/>
    <x v="0"/>
    <x v="6"/>
    <x v="0"/>
    <x v="6"/>
  </r>
  <r>
    <s v="P241"/>
    <s v="Ira"/>
    <x v="0"/>
    <n v="1"/>
    <x v="1"/>
    <x v="3"/>
    <x v="2"/>
    <s v="2024-07-29"/>
    <s v="2024-08-04"/>
    <s v="Skin Allergy"/>
    <n v="23581"/>
    <s v="Card"/>
    <n v="6"/>
    <x v="1"/>
    <s v="Child"/>
    <x v="0"/>
    <x v="6"/>
    <x v="0"/>
    <x v="10"/>
  </r>
  <r>
    <s v="P242"/>
    <s v="Riya"/>
    <x v="0"/>
    <n v="47"/>
    <x v="0"/>
    <x v="1"/>
    <x v="1"/>
    <s v="2024-12-24"/>
    <s v="2025-01-03"/>
    <s v="Migraine"/>
    <n v="58885"/>
    <s v="Card"/>
    <n v="10"/>
    <x v="0"/>
    <s v="Adult"/>
    <x v="1"/>
    <x v="8"/>
    <x v="0"/>
    <x v="11"/>
  </r>
  <r>
    <s v="P243"/>
    <s v="Ira"/>
    <x v="0"/>
    <n v="65"/>
    <x v="5"/>
    <x v="3"/>
    <x v="3"/>
    <s v="2024-11-11"/>
    <s v="2024-11-18"/>
    <s v="Diabetes"/>
    <n v="75318"/>
    <s v="UPI"/>
    <n v="7"/>
    <x v="1"/>
    <s v="Senior"/>
    <x v="0"/>
    <x v="3"/>
    <x v="0"/>
    <x v="3"/>
  </r>
  <r>
    <s v="P244"/>
    <s v="Ira"/>
    <x v="0"/>
    <n v="71"/>
    <x v="5"/>
    <x v="5"/>
    <x v="0"/>
    <s v="2024-01-03"/>
    <s v="2024-01-06"/>
    <s v="Heart Disease"/>
    <n v="90060"/>
    <s v="UPI"/>
    <n v="3"/>
    <x v="0"/>
    <s v="Senior"/>
    <x v="0"/>
    <x v="8"/>
    <x v="0"/>
    <x v="8"/>
  </r>
  <r>
    <s v="P245"/>
    <s v="Ira"/>
    <x v="0"/>
    <n v="77"/>
    <x v="4"/>
    <x v="5"/>
    <x v="5"/>
    <s v="2024-06-08"/>
    <s v="2024-06-10"/>
    <s v="Fever"/>
    <n v="71579"/>
    <s v="Card"/>
    <n v="2"/>
    <x v="1"/>
    <s v="Senior"/>
    <x v="0"/>
    <x v="4"/>
    <x v="0"/>
    <x v="4"/>
  </r>
  <r>
    <s v="P246"/>
    <s v="Sara"/>
    <x v="1"/>
    <n v="77"/>
    <x v="4"/>
    <x v="2"/>
    <x v="0"/>
    <s v="2024-02-19"/>
    <s v="2024-02-20"/>
    <s v="Skin Allergy"/>
    <n v="36705"/>
    <s v="Card"/>
    <n v="1"/>
    <x v="2"/>
    <s v="Senior"/>
    <x v="0"/>
    <x v="1"/>
    <x v="0"/>
    <x v="1"/>
  </r>
  <r>
    <s v="P247"/>
    <s v="Myra"/>
    <x v="0"/>
    <n v="25"/>
    <x v="5"/>
    <x v="2"/>
    <x v="5"/>
    <s v="2024-05-03"/>
    <s v="2024-05-11"/>
    <s v="Heart Disease"/>
    <n v="17959"/>
    <s v="Cash"/>
    <n v="8"/>
    <x v="1"/>
    <s v="Adult"/>
    <x v="0"/>
    <x v="5"/>
    <x v="0"/>
    <x v="9"/>
  </r>
  <r>
    <s v="P248"/>
    <s v="Vivaan"/>
    <x v="1"/>
    <n v="77"/>
    <x v="0"/>
    <x v="2"/>
    <x v="3"/>
    <s v="2024-05-19"/>
    <s v="2024-05-28"/>
    <s v="Cancer"/>
    <n v="38115"/>
    <s v="UPI"/>
    <n v="9"/>
    <x v="0"/>
    <s v="Senior"/>
    <x v="0"/>
    <x v="5"/>
    <x v="0"/>
    <x v="9"/>
  </r>
  <r>
    <s v="P249"/>
    <s v="Reyansh"/>
    <x v="0"/>
    <n v="26"/>
    <x v="5"/>
    <x v="6"/>
    <x v="5"/>
    <s v="2024-12-22"/>
    <s v="2024-12-25"/>
    <s v="Diabetes"/>
    <n v="76848"/>
    <s v="UPI"/>
    <n v="3"/>
    <x v="1"/>
    <s v="Adult"/>
    <x v="0"/>
    <x v="10"/>
    <x v="0"/>
    <x v="11"/>
  </r>
  <r>
    <s v="P250"/>
    <s v="Shaurya"/>
    <x v="1"/>
    <n v="46"/>
    <x v="1"/>
    <x v="0"/>
    <x v="3"/>
    <s v="2024-12-16"/>
    <s v="2024-12-19"/>
    <s v="Heart Disease"/>
    <n v="63763"/>
    <s v="Card"/>
    <n v="3"/>
    <x v="1"/>
    <s v="Adult"/>
    <x v="0"/>
    <x v="10"/>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170A7C-0133-4EA7-8FBA-B0096AF515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1" firstHeaderRow="1" firstDataRow="2" firstDataCol="1"/>
  <pivotFields count="19">
    <pivotField dataField="1" showAll="0"/>
    <pivotField showAll="0"/>
    <pivotField axis="axisCol" showAll="0">
      <items count="3">
        <item x="1"/>
        <item h="1" x="0"/>
        <item t="default"/>
      </items>
    </pivotField>
    <pivotField showAll="0"/>
    <pivotField showAll="0">
      <items count="8">
        <item x="5"/>
        <item h="1" x="1"/>
        <item h="1" x="2"/>
        <item h="1" x="6"/>
        <item h="1" x="3"/>
        <item h="1" x="4"/>
        <item h="1" x="0"/>
        <item t="default"/>
      </items>
    </pivotField>
    <pivotField axis="axisRow" showAll="0">
      <items count="8">
        <item x="3"/>
        <item x="1"/>
        <item x="2"/>
        <item x="5"/>
        <item x="6"/>
        <item x="4"/>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8"/>
        <item x="1"/>
        <item x="11"/>
        <item x="7"/>
        <item x="5"/>
        <item x="4"/>
        <item x="9"/>
        <item x="6"/>
        <item x="0"/>
        <item x="2"/>
        <item x="3"/>
        <item x="10"/>
        <item t="default"/>
      </items>
    </pivotField>
    <pivotField showAll="0">
      <items count="2">
        <item x="0"/>
        <item t="default"/>
      </items>
    </pivotField>
    <pivotField showAll="0">
      <items count="13">
        <item x="8"/>
        <item x="1"/>
        <item x="7"/>
        <item x="5"/>
        <item x="9"/>
        <item x="4"/>
        <item x="10"/>
        <item x="6"/>
        <item x="0"/>
        <item x="2"/>
        <item x="3"/>
        <item x="11"/>
        <item t="default"/>
      </items>
    </pivotField>
  </pivotFields>
  <rowFields count="1">
    <field x="5"/>
  </rowFields>
  <rowItems count="7">
    <i>
      <x/>
    </i>
    <i>
      <x v="1"/>
    </i>
    <i>
      <x v="2"/>
    </i>
    <i>
      <x v="3"/>
    </i>
    <i>
      <x v="5"/>
    </i>
    <i>
      <x v="6"/>
    </i>
    <i t="grand">
      <x/>
    </i>
  </rowItems>
  <colFields count="1">
    <field x="2"/>
  </colFields>
  <colItems count="2">
    <i>
      <x/>
    </i>
    <i t="grand">
      <x/>
    </i>
  </colItems>
  <dataFields count="1">
    <dataField name="Count of Patient_I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95EB92-7B2E-4790-8BF7-071D8F814F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19">
    <pivotField showAll="0"/>
    <pivotField showAll="0"/>
    <pivotField showAll="0">
      <items count="3">
        <item x="1"/>
        <item h="1" x="0"/>
        <item t="default"/>
      </items>
    </pivotField>
    <pivotField showAll="0"/>
    <pivotField showAll="0">
      <items count="8">
        <item x="5"/>
        <item h="1" x="1"/>
        <item h="1" x="2"/>
        <item h="1" x="6"/>
        <item h="1" x="3"/>
        <item h="1" x="4"/>
        <item h="1" x="0"/>
        <item t="default"/>
      </items>
    </pivotField>
    <pivotField showAll="0">
      <items count="8">
        <item x="3"/>
        <item x="1"/>
        <item x="2"/>
        <item x="5"/>
        <item x="6"/>
        <item x="4"/>
        <item x="0"/>
        <item t="default"/>
      </items>
    </pivotField>
    <pivotField axis="axisRow" showAll="0">
      <items count="7">
        <item x="0"/>
        <item x="5"/>
        <item x="1"/>
        <item x="2"/>
        <item x="3"/>
        <item x="4"/>
        <item t="default"/>
      </items>
    </pivotField>
    <pivotField showAll="0"/>
    <pivotField showAll="0"/>
    <pivotField showAll="0"/>
    <pivotField dataField="1" showAll="0"/>
    <pivotField showAll="0"/>
    <pivotField showAll="0"/>
    <pivotField showAll="0"/>
    <pivotField showAll="0"/>
    <pivotField showAll="0">
      <items count="3">
        <item x="0"/>
        <item x="1"/>
        <item t="default"/>
      </items>
    </pivotField>
    <pivotField showAll="0">
      <items count="13">
        <item x="8"/>
        <item x="1"/>
        <item x="11"/>
        <item x="7"/>
        <item x="5"/>
        <item x="4"/>
        <item x="9"/>
        <item x="6"/>
        <item x="0"/>
        <item x="2"/>
        <item x="3"/>
        <item x="10"/>
        <item t="default"/>
      </items>
    </pivotField>
    <pivotField showAll="0"/>
    <pivotField showAll="0">
      <items count="13">
        <item x="8"/>
        <item x="1"/>
        <item x="7"/>
        <item x="5"/>
        <item x="9"/>
        <item x="4"/>
        <item x="10"/>
        <item x="6"/>
        <item x="0"/>
        <item x="2"/>
        <item x="3"/>
        <item x="11"/>
        <item t="default"/>
      </items>
    </pivotField>
  </pivotFields>
  <rowFields count="1">
    <field x="6"/>
  </rowFields>
  <rowItems count="7">
    <i>
      <x/>
    </i>
    <i>
      <x v="1"/>
    </i>
    <i>
      <x v="2"/>
    </i>
    <i>
      <x v="3"/>
    </i>
    <i>
      <x v="4"/>
    </i>
    <i>
      <x v="5"/>
    </i>
    <i t="grand">
      <x/>
    </i>
  </rowItems>
  <colItems count="1">
    <i/>
  </colItems>
  <dataFields count="1">
    <dataField name="Sum of Treatment_Cost" fld="10"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53691-0154-4B67-BE36-2BC6B3DF8B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9">
    <pivotField showAll="0"/>
    <pivotField showAll="0"/>
    <pivotField showAll="0">
      <items count="3">
        <item x="1"/>
        <item h="1" x="0"/>
        <item t="default"/>
      </items>
    </pivotField>
    <pivotField showAll="0"/>
    <pivotField showAll="0">
      <items count="8">
        <item x="5"/>
        <item h="1" x="1"/>
        <item h="1" x="2"/>
        <item h="1" x="6"/>
        <item h="1" x="3"/>
        <item h="1" x="4"/>
        <item h="1" x="0"/>
        <item t="default"/>
      </items>
    </pivotField>
    <pivotField showAll="0"/>
    <pivotField showAll="0"/>
    <pivotField showAll="0"/>
    <pivotField showAll="0"/>
    <pivotField showAll="0"/>
    <pivotField dataField="1" showAll="0"/>
    <pivotField showAll="0"/>
    <pivotField showAll="0"/>
    <pivotField showAll="0"/>
    <pivotField showAll="0"/>
    <pivotField axis="axisRow" showAll="0">
      <items count="3">
        <item x="0"/>
        <item x="1"/>
        <item t="default"/>
      </items>
    </pivotField>
    <pivotField axis="axisRow" showAll="0">
      <items count="13">
        <item x="8"/>
        <item x="1"/>
        <item x="11"/>
        <item x="7"/>
        <item x="5"/>
        <item x="4"/>
        <item x="9"/>
        <item x="6"/>
        <item x="0"/>
        <item x="2"/>
        <item x="3"/>
        <item x="10"/>
        <item t="default"/>
      </items>
    </pivotField>
    <pivotField showAll="0">
      <items count="2">
        <item x="0"/>
        <item t="default"/>
      </items>
    </pivotField>
    <pivotField showAll="0">
      <items count="13">
        <item x="8"/>
        <item x="1"/>
        <item x="7"/>
        <item x="5"/>
        <item x="9"/>
        <item x="4"/>
        <item x="10"/>
        <item x="6"/>
        <item x="0"/>
        <item x="2"/>
        <item x="3"/>
        <item x="11"/>
        <item t="default"/>
      </items>
    </pivotField>
  </pivotFields>
  <rowFields count="2">
    <field x="15"/>
    <field x="16"/>
  </rowFields>
  <rowItems count="13">
    <i>
      <x/>
    </i>
    <i r="1">
      <x/>
    </i>
    <i r="1">
      <x v="2"/>
    </i>
    <i r="1">
      <x v="3"/>
    </i>
    <i r="1">
      <x v="4"/>
    </i>
    <i r="1">
      <x v="5"/>
    </i>
    <i r="1">
      <x v="6"/>
    </i>
    <i r="1">
      <x v="7"/>
    </i>
    <i r="1">
      <x v="8"/>
    </i>
    <i r="1">
      <x v="9"/>
    </i>
    <i r="1">
      <x v="10"/>
    </i>
    <i r="1">
      <x v="11"/>
    </i>
    <i t="grand">
      <x/>
    </i>
  </rowItems>
  <colItems count="1">
    <i/>
  </colItems>
  <dataFields count="1">
    <dataField name="Sum of Treatment_Cost" fld="1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70351-87E5-44C7-825E-88BCF41ADF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9">
    <pivotField dataField="1" showAll="0"/>
    <pivotField showAll="0"/>
    <pivotField showAll="0">
      <items count="3">
        <item x="1"/>
        <item h="1" x="0"/>
        <item t="default"/>
      </items>
    </pivotField>
    <pivotField showAll="0"/>
    <pivotField showAll="0">
      <items count="8">
        <item x="5"/>
        <item h="1" x="1"/>
        <item h="1" x="2"/>
        <item h="1" x="6"/>
        <item h="1" x="3"/>
        <item h="1" x="4"/>
        <item h="1" x="0"/>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items count="3">
        <item x="0"/>
        <item x="1"/>
        <item t="default"/>
      </items>
    </pivotField>
    <pivotField showAll="0">
      <items count="13">
        <item x="8"/>
        <item x="1"/>
        <item x="11"/>
        <item x="7"/>
        <item x="5"/>
        <item x="4"/>
        <item x="9"/>
        <item x="6"/>
        <item x="0"/>
        <item x="2"/>
        <item x="3"/>
        <item x="10"/>
        <item t="default"/>
      </items>
    </pivotField>
    <pivotField showAll="0"/>
    <pivotField showAll="0">
      <items count="13">
        <item x="8"/>
        <item x="1"/>
        <item x="7"/>
        <item x="5"/>
        <item x="9"/>
        <item x="4"/>
        <item x="10"/>
        <item x="6"/>
        <item x="0"/>
        <item x="2"/>
        <item x="3"/>
        <item x="11"/>
        <item t="default"/>
      </items>
    </pivotField>
  </pivotFields>
  <rowFields count="1">
    <field x="13"/>
  </rowFields>
  <rowItems count="4">
    <i>
      <x/>
    </i>
    <i>
      <x v="1"/>
    </i>
    <i>
      <x v="2"/>
    </i>
    <i t="grand">
      <x/>
    </i>
  </rowItems>
  <colItems count="1">
    <i/>
  </colItems>
  <dataFields count="1">
    <dataField name="Count of Patient_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5AE024-70FB-4F84-8EEB-ECB14F9F56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9">
    <pivotField dataField="1" showAll="0"/>
    <pivotField showAll="0"/>
    <pivotField showAll="0">
      <items count="3">
        <item x="1"/>
        <item h="1" x="0"/>
        <item t="default"/>
      </items>
    </pivotField>
    <pivotField showAll="0"/>
    <pivotField showAll="0">
      <items count="8">
        <item x="5"/>
        <item h="1" x="1"/>
        <item h="1" x="2"/>
        <item h="1" x="6"/>
        <item h="1" x="3"/>
        <item h="1" x="4"/>
        <item h="1" x="0"/>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8"/>
        <item x="1"/>
        <item x="11"/>
        <item x="7"/>
        <item x="5"/>
        <item x="4"/>
        <item x="9"/>
        <item x="6"/>
        <item x="0"/>
        <item x="2"/>
        <item x="3"/>
        <item x="10"/>
        <item t="default"/>
      </items>
    </pivotField>
    <pivotField axis="axisRow" showAll="0">
      <items count="2">
        <item x="0"/>
        <item t="default"/>
      </items>
    </pivotField>
    <pivotField axis="axisRow" showAll="0">
      <items count="13">
        <item x="8"/>
        <item x="1"/>
        <item x="7"/>
        <item x="5"/>
        <item x="9"/>
        <item x="4"/>
        <item x="10"/>
        <item x="6"/>
        <item x="0"/>
        <item x="2"/>
        <item x="3"/>
        <item x="11"/>
        <item t="default"/>
      </items>
    </pivotField>
  </pivotFields>
  <rowFields count="2">
    <field x="17"/>
    <field x="18"/>
  </rowFields>
  <rowItems count="13">
    <i>
      <x/>
    </i>
    <i r="1">
      <x/>
    </i>
    <i r="1">
      <x v="1"/>
    </i>
    <i r="1">
      <x v="2"/>
    </i>
    <i r="1">
      <x v="3"/>
    </i>
    <i r="1">
      <x v="4"/>
    </i>
    <i r="1">
      <x v="5"/>
    </i>
    <i r="1">
      <x v="6"/>
    </i>
    <i r="1">
      <x v="7"/>
    </i>
    <i r="1">
      <x v="8"/>
    </i>
    <i r="1">
      <x v="9"/>
    </i>
    <i r="1">
      <x v="10"/>
    </i>
    <i t="grand">
      <x/>
    </i>
  </rowItems>
  <colItems count="1">
    <i/>
  </colItems>
  <dataFields count="1">
    <dataField name="Count of Patient_I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DAC6F2-873D-47AF-BAC9-ED8A21302B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rowPageCount="1" colPageCount="1"/>
  <pivotFields count="19">
    <pivotField dataField="1" showAll="0"/>
    <pivotField showAll="0"/>
    <pivotField showAll="0">
      <items count="3">
        <item x="1"/>
        <item h="1" x="0"/>
        <item t="default"/>
      </items>
    </pivotField>
    <pivotField showAll="0"/>
    <pivotField axis="axisPage" multipleItemSelectionAllowed="1" showAll="0">
      <items count="8">
        <item x="5"/>
        <item h="1" x="1"/>
        <item h="1" x="2"/>
        <item h="1" x="6"/>
        <item h="1" x="3"/>
        <item h="1" x="4"/>
        <item h="1" x="0"/>
        <item t="default"/>
      </items>
    </pivotField>
    <pivotField axis="axisRow" showAll="0">
      <items count="8">
        <item x="3"/>
        <item x="1"/>
        <item x="2"/>
        <item x="5"/>
        <item x="6"/>
        <item x="4"/>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8"/>
        <item x="1"/>
        <item x="11"/>
        <item x="7"/>
        <item x="5"/>
        <item x="4"/>
        <item x="9"/>
        <item x="6"/>
        <item x="0"/>
        <item x="2"/>
        <item x="3"/>
        <item x="10"/>
        <item t="default"/>
      </items>
    </pivotField>
    <pivotField showAll="0"/>
    <pivotField showAll="0">
      <items count="13">
        <item x="8"/>
        <item x="1"/>
        <item x="7"/>
        <item x="5"/>
        <item x="9"/>
        <item x="4"/>
        <item x="10"/>
        <item x="6"/>
        <item x="0"/>
        <item x="2"/>
        <item x="3"/>
        <item x="11"/>
        <item t="default"/>
      </items>
    </pivotField>
  </pivotFields>
  <rowFields count="1">
    <field x="5"/>
  </rowFields>
  <rowItems count="7">
    <i>
      <x/>
    </i>
    <i>
      <x v="1"/>
    </i>
    <i>
      <x v="2"/>
    </i>
    <i>
      <x v="3"/>
    </i>
    <i>
      <x v="5"/>
    </i>
    <i>
      <x v="6"/>
    </i>
    <i t="grand">
      <x/>
    </i>
  </rowItems>
  <colItems count="1">
    <i/>
  </colItems>
  <pageFields count="1">
    <pageField fld="4" hier="-1"/>
  </pageField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7F68356-4AC8-490A-A7C9-505726F22C2C}" sourceName="Gender">
  <pivotTables>
    <pivotTable tabId="3" name="PivotTable1"/>
    <pivotTable tabId="8" name="PivotTable6"/>
    <pivotTable tabId="5" name="PivotTable3"/>
    <pivotTable tabId="4" name="PivotTable2"/>
    <pivotTable tabId="7" name="PivotTable5"/>
    <pivotTable tabId="6" name="PivotTable4"/>
  </pivotTables>
  <data>
    <tabular pivotCacheId="894386670">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81F9E05-3C38-4F46-8EF2-32602FDF859A}" sourceName="City">
  <pivotTables>
    <pivotTable tabId="3" name="PivotTable1"/>
    <pivotTable tabId="8" name="PivotTable6"/>
    <pivotTable tabId="5" name="PivotTable3"/>
    <pivotTable tabId="4" name="PivotTable2"/>
    <pivotTable tabId="7" name="PivotTable5"/>
    <pivotTable tabId="6" name="PivotTable4"/>
  </pivotTables>
  <data>
    <tabular pivotCacheId="894386670">
      <items count="7">
        <i x="5" s="1"/>
        <i x="1"/>
        <i x="2"/>
        <i x="6"/>
        <i x="3"/>
        <i x="4"/>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_Month_name" xr10:uid="{99621212-B8D1-4802-B945-5C6C0E37E84D}" sourceName="D_Month_name">
  <pivotTables>
    <pivotTable tabId="3" name="PivotTable1"/>
    <pivotTable tabId="8" name="PivotTable6"/>
    <pivotTable tabId="5" name="PivotTable3"/>
    <pivotTable tabId="4" name="PivotTable2"/>
    <pivotTable tabId="7" name="PivotTable5"/>
    <pivotTable tabId="6" name="PivotTable4"/>
  </pivotTables>
  <data>
    <tabular pivotCacheId="894386670">
      <items count="12">
        <i x="8" s="1"/>
        <i x="11" s="1"/>
        <i x="7" s="1"/>
        <i x="5" s="1"/>
        <i x="4" s="1"/>
        <i x="9" s="1"/>
        <i x="6" s="1"/>
        <i x="0" s="1"/>
        <i x="2" s="1"/>
        <i x="3" s="1"/>
        <i x="10"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_Year" xr10:uid="{FFFF1D37-C50E-461C-8584-573CDCA680D4}" sourceName="A_Year">
  <pivotTables>
    <pivotTable tabId="3" name="PivotTable1"/>
  </pivotTables>
  <data>
    <tabular pivotCacheId="89438667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_Month_name" xr10:uid="{5C4D09FF-02A8-454A-B503-DA9B318912A4}" sourceName="A_Month_name">
  <pivotTables>
    <pivotTable tabId="3" name="PivotTable1"/>
    <pivotTable tabId="8" name="PivotTable6"/>
    <pivotTable tabId="5" name="PivotTable3"/>
    <pivotTable tabId="4" name="PivotTable2"/>
    <pivotTable tabId="7" name="PivotTable5"/>
    <pivotTable tabId="6" name="PivotTable4"/>
  </pivotTables>
  <data>
    <tabular pivotCacheId="894386670">
      <items count="12">
        <i x="8" s="1"/>
        <i x="1" s="1"/>
        <i x="7" s="1"/>
        <i x="5" s="1"/>
        <i x="9" s="1"/>
        <i x="4" s="1"/>
        <i x="10" s="1"/>
        <i x="6" s="1"/>
        <i x="0" s="1"/>
        <i x="2" s="1"/>
        <i x="3" s="1"/>
        <i x="1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_Year" xr10:uid="{1EC879CA-F422-4677-B235-5D1FB6C36AF2}" sourceName="D_Year">
  <pivotTables>
    <pivotTable tabId="3" name="PivotTable1"/>
    <pivotTable tabId="8" name="PivotTable6"/>
    <pivotTable tabId="5" name="PivotTable3"/>
    <pivotTable tabId="4" name="PivotTable2"/>
    <pivotTable tabId="7" name="PivotTable5"/>
    <pivotTable tabId="6" name="PivotTable4"/>
  </pivotTables>
  <data>
    <tabular pivotCacheId="894386670">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7512FC2-9CD4-4D96-A886-4C9073244861}" cache="Slicer_Gender" caption="Gender" columnCount="2" style="SlicerStyleDark2 2" rowHeight="234950"/>
  <slicer name="City 1" xr10:uid="{16AD45DB-A37C-4E91-939B-104AF6CE9698}" cache="Slicer_City" caption="City" style="SlicerStyleDark2 2" rowHeight="234950"/>
  <slicer name="D_Month_name 1" xr10:uid="{3056F227-694A-428B-A6EC-50D13DB24EEB}" cache="Slicer_D_Month_name" caption="D_Month_name" columnCount="3" style="SlicerStyleDark2 2" rowHeight="234950"/>
  <slicer name="A_Month_name 1" xr10:uid="{AB3A9B45-B8EA-4851-9AB5-0C6662463492}" cache="Slicer_A_Month_name" caption="A_Month_name" columnCount="3" style="SlicerStyleDark2 2" rowHeight="234950"/>
  <slicer name="D_Year 1" xr10:uid="{3B8999BA-F146-41EC-9C66-D49F53365ED7}" cache="Slicer_D_Year" caption="D_Year" columnCount="2" style="SlicerStyleDark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F731039-E391-4449-A273-03EF6429872D}" cache="Slicer_Gender" caption="Gender" rowHeight="234950"/>
  <slicer name="City" xr10:uid="{E846AD36-897D-4B89-B569-B68EBA71B1C3}" cache="Slicer_City" caption="City" rowHeight="234950"/>
  <slicer name="D_Month_name" xr10:uid="{57D13263-09B5-4F73-8764-A7CA9E7BBC7A}" cache="Slicer_D_Month_name" caption="D_Month_name" columnCount="3" rowHeight="234950"/>
  <slicer name="A_Year" xr10:uid="{161D56CC-B6C0-497D-8007-060AC023E18A}" cache="Slicer_A_Year" caption="A_Year" rowHeight="234950"/>
  <slicer name="A_Month_name" xr10:uid="{19763386-9473-44D7-8C1C-0DB7E020253D}" cache="Slicer_A_Month_name" caption="A_Month_name" columnCount="3" rowHeight="234950"/>
  <slicer name="D_Year" xr10:uid="{C14CE90F-2C06-415F-B0EA-6504C973127E}" cache="Slicer_D_Year" caption="D_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712190-80EA-42DA-A0F3-A219E63E20CF}" name="Table1" displayName="Table1" ref="U3:V5" totalsRowShown="0" headerRowDxfId="5">
  <autoFilter ref="U3:V5" xr:uid="{ED712190-80EA-42DA-A0F3-A219E63E20CF}"/>
  <tableColumns count="2">
    <tableColumn id="1" xr3:uid="{629C34DD-EB6B-4341-84A7-8056393579D0}" name="Department"/>
    <tableColumn id="2" xr3:uid="{887AA367-74C5-4402-8E2A-044A07A4D948}" name="Doctor" dataDxfId="4">
      <calculatedColumnFormula>VLOOKUP(U4,F2:G251,2,FALSE)</calculatedColumnFormula>
    </tableColumn>
  </tableColumns>
  <tableStyleInfo name="TableStyleLight1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AA167E-F47C-48EA-BE9E-7653B417A6AF}" name="Table4" displayName="Table4" ref="U10:V11" totalsRowShown="0" headerRowDxfId="3">
  <autoFilter ref="U10:V11" xr:uid="{43AA167E-F47C-48EA-BE9E-7653B417A6AF}"/>
  <tableColumns count="2">
    <tableColumn id="1" xr3:uid="{C03376E3-E604-4A5C-ADFE-C649DFEA1AB0}" name="Patient_ID"/>
    <tableColumn id="2" xr3:uid="{8B30D7D0-EA25-4B8B-A1C2-A0ADC9732F5D}" name="Doctor_Name" dataDxfId="2">
      <calculatedColumnFormula>INDEX(G:G, MATCH(U11, A:A, 0))</calculatedColumnFormula>
    </tableColumn>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891FA3-A636-4161-A619-52790BAE7AA7}" name="Table5" displayName="Table5" ref="U14:V16" headerRowCount="0" totalsRowCount="1">
  <tableColumns count="2">
    <tableColumn id="1" xr3:uid="{5D012C75-672D-4882-9CB1-B4E564BEB1FE}" name="Column1" totalsRowFunction="custom" totalsRowDxfId="1">
      <totalsRowFormula>IF(K7&gt;50000,"High Cost","Low Cost")</totalsRowFormula>
    </tableColumn>
    <tableColumn id="2" xr3:uid="{7358FE90-8730-4983-9BEC-095317D68D03}" name="Column2"/>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6D3A88-34F3-4922-92A4-4D5F81DBC8C4}" name="Table6" displayName="Table6" ref="U19:V21" headerRowCount="0" totalsRowShown="0">
  <tableColumns count="2">
    <tableColumn id="1" xr3:uid="{F8E68F0F-1748-44C3-BB2C-217C2CE9DB6C}" name="Column1"/>
    <tableColumn id="2" xr3:uid="{11D67D47-9482-456D-B901-6258B5E56845}" name="Column2"/>
  </tableColumns>
  <tableStyleInfo name="TableStyleLight12" showFirstColumn="0" showLastColumn="0" showRowStripes="0" showColumnStripes="0"/>
</table>
</file>

<file path=xl/theme/theme1.xml><?xml version="1.0" encoding="utf-8"?>
<a:theme xmlns:a="http://schemas.openxmlformats.org/drawingml/2006/main" name="Facet">
  <a:themeElements>
    <a:clrScheme name="Custom 2">
      <a:dk1>
        <a:sysClr val="windowText" lastClr="000000"/>
      </a:dk1>
      <a:lt1>
        <a:sysClr val="window" lastClr="FFFFFF"/>
      </a:lt1>
      <a:dk2>
        <a:srgbClr val="373545"/>
      </a:dk2>
      <a:lt2>
        <a:srgbClr val="DCD8DC"/>
      </a:lt2>
      <a:accent1>
        <a:srgbClr val="864EA9"/>
      </a:accent1>
      <a:accent2>
        <a:srgbClr val="643A7E"/>
      </a:accent2>
      <a:accent3>
        <a:srgbClr val="5D739A"/>
      </a:accent3>
      <a:accent4>
        <a:srgbClr val="6997AF"/>
      </a:accent4>
      <a:accent5>
        <a:srgbClr val="84ACB6"/>
      </a:accent5>
      <a:accent6>
        <a:srgbClr val="6F8183"/>
      </a:accent6>
      <a:hlink>
        <a:srgbClr val="69A020"/>
      </a:hlink>
      <a:folHlink>
        <a:srgbClr val="8C8C8C"/>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52732-732F-44B3-8521-8FA07E34B97A}">
  <dimension ref="A1:V251"/>
  <sheetViews>
    <sheetView topLeftCell="D1" workbookViewId="0">
      <selection activeCell="U22" sqref="U22"/>
    </sheetView>
  </sheetViews>
  <sheetFormatPr defaultRowHeight="14.4" x14ac:dyDescent="0.3"/>
  <cols>
    <col min="8" max="8" width="14.77734375" customWidth="1"/>
    <col min="14" max="14" width="15.109375" customWidth="1"/>
    <col min="19" max="19" width="7.77734375" customWidth="1"/>
    <col min="21" max="21" width="15" customWidth="1"/>
    <col min="22" max="22" width="16" customWidth="1"/>
    <col min="23" max="23" width="14.44140625" customWidth="1"/>
    <col min="24" max="24" width="22.44140625" customWidth="1"/>
    <col min="25" max="25" width="14.8867187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1" t="s">
        <v>17</v>
      </c>
      <c r="S1" s="1" t="s">
        <v>18</v>
      </c>
      <c r="U1" s="1" t="s">
        <v>594</v>
      </c>
      <c r="V1" s="1"/>
    </row>
    <row r="2" spans="1:22" x14ac:dyDescent="0.3">
      <c r="A2" t="s">
        <v>19</v>
      </c>
      <c r="B2" t="s">
        <v>20</v>
      </c>
      <c r="C2" t="s">
        <v>21</v>
      </c>
      <c r="D2">
        <v>83</v>
      </c>
      <c r="E2" t="s">
        <v>22</v>
      </c>
      <c r="F2" t="s">
        <v>23</v>
      </c>
      <c r="G2" t="s">
        <v>24</v>
      </c>
      <c r="H2" s="3" t="s">
        <v>25</v>
      </c>
      <c r="I2" s="3" t="s">
        <v>26</v>
      </c>
      <c r="J2" t="s">
        <v>27</v>
      </c>
      <c r="K2">
        <v>40312</v>
      </c>
      <c r="L2" t="s">
        <v>28</v>
      </c>
      <c r="M2">
        <v>9</v>
      </c>
      <c r="N2" t="s">
        <v>29</v>
      </c>
      <c r="O2" t="str">
        <f>IF(D2&lt;18,"Child",IF(D2&lt;=60,"Adult","Senior"))</f>
        <v>Senior</v>
      </c>
      <c r="P2">
        <f>YEAR(I2)</f>
        <v>2024</v>
      </c>
      <c r="Q2" t="str">
        <f>TEXT(I2,"mmm")</f>
        <v>Sep</v>
      </c>
      <c r="R2">
        <f>YEAR(H2)</f>
        <v>2024</v>
      </c>
      <c r="S2" t="str">
        <f>TEXT(H2,"mmm")</f>
        <v>Sep</v>
      </c>
      <c r="U2" s="1" t="s">
        <v>595</v>
      </c>
    </row>
    <row r="3" spans="1:22" ht="17.399999999999999" customHeight="1" x14ac:dyDescent="0.3">
      <c r="A3" t="s">
        <v>30</v>
      </c>
      <c r="B3" t="s">
        <v>31</v>
      </c>
      <c r="C3" t="s">
        <v>32</v>
      </c>
      <c r="D3">
        <v>49</v>
      </c>
      <c r="E3" t="s">
        <v>33</v>
      </c>
      <c r="F3" t="s">
        <v>23</v>
      </c>
      <c r="G3" t="s">
        <v>24</v>
      </c>
      <c r="H3" s="3" t="s">
        <v>34</v>
      </c>
      <c r="I3" s="3" t="s">
        <v>35</v>
      </c>
      <c r="J3" t="s">
        <v>36</v>
      </c>
      <c r="K3">
        <v>18846</v>
      </c>
      <c r="L3" t="s">
        <v>28</v>
      </c>
      <c r="M3">
        <v>9</v>
      </c>
      <c r="N3" t="s">
        <v>29</v>
      </c>
      <c r="O3" t="str">
        <f t="shared" ref="O3:O66" si="0">IF(D3&lt;18,"Child",IF(D3&lt;=60,"Adult","Senior"))</f>
        <v>Adult</v>
      </c>
      <c r="P3">
        <f t="shared" ref="P3:P66" si="1">YEAR(I3)</f>
        <v>2024</v>
      </c>
      <c r="Q3" t="str">
        <f t="shared" ref="Q3:Q66" si="2">TEXT(I3,"mmm")</f>
        <v>Feb</v>
      </c>
      <c r="R3">
        <f t="shared" ref="R3:R66" si="3">YEAR(H3)</f>
        <v>2024</v>
      </c>
      <c r="S3" t="str">
        <f t="shared" ref="S3:S66" si="4">TEXT(H3,"mmm")</f>
        <v>Feb</v>
      </c>
      <c r="U3" s="6" t="s">
        <v>5</v>
      </c>
      <c r="V3" s="6" t="s">
        <v>596</v>
      </c>
    </row>
    <row r="4" spans="1:22" x14ac:dyDescent="0.3">
      <c r="A4" t="s">
        <v>37</v>
      </c>
      <c r="B4" t="s">
        <v>38</v>
      </c>
      <c r="C4" t="s">
        <v>21</v>
      </c>
      <c r="D4">
        <v>54</v>
      </c>
      <c r="E4" t="s">
        <v>39</v>
      </c>
      <c r="F4" t="s">
        <v>40</v>
      </c>
      <c r="G4" t="s">
        <v>41</v>
      </c>
      <c r="H4" s="3" t="s">
        <v>42</v>
      </c>
      <c r="I4" s="3" t="s">
        <v>43</v>
      </c>
      <c r="J4" t="s">
        <v>44</v>
      </c>
      <c r="K4">
        <v>66405</v>
      </c>
      <c r="L4" t="s">
        <v>45</v>
      </c>
      <c r="M4">
        <v>5</v>
      </c>
      <c r="N4" t="s">
        <v>46</v>
      </c>
      <c r="O4" t="str">
        <f t="shared" si="0"/>
        <v>Adult</v>
      </c>
      <c r="P4">
        <f t="shared" si="1"/>
        <v>2024</v>
      </c>
      <c r="Q4" t="str">
        <f t="shared" si="2"/>
        <v>Oct</v>
      </c>
      <c r="R4">
        <f t="shared" si="3"/>
        <v>2024</v>
      </c>
      <c r="S4" t="str">
        <f t="shared" si="4"/>
        <v>Oct</v>
      </c>
      <c r="U4" t="s">
        <v>23</v>
      </c>
      <c r="V4" s="4" t="str">
        <f>VLOOKUP(U4,F2:G251,2,FALSE)</f>
        <v>Dr. Gupta</v>
      </c>
    </row>
    <row r="5" spans="1:22" x14ac:dyDescent="0.3">
      <c r="A5" t="s">
        <v>47</v>
      </c>
      <c r="B5" t="s">
        <v>48</v>
      </c>
      <c r="C5" t="s">
        <v>21</v>
      </c>
      <c r="D5">
        <v>47</v>
      </c>
      <c r="E5" t="s">
        <v>49</v>
      </c>
      <c r="F5" t="s">
        <v>40</v>
      </c>
      <c r="G5" t="s">
        <v>41</v>
      </c>
      <c r="H5" s="3" t="s">
        <v>50</v>
      </c>
      <c r="I5" s="3" t="s">
        <v>51</v>
      </c>
      <c r="J5" t="s">
        <v>52</v>
      </c>
      <c r="K5">
        <v>35719</v>
      </c>
      <c r="L5" t="s">
        <v>45</v>
      </c>
      <c r="M5">
        <v>10</v>
      </c>
      <c r="N5" t="s">
        <v>46</v>
      </c>
      <c r="O5" t="str">
        <f t="shared" si="0"/>
        <v>Adult</v>
      </c>
      <c r="P5">
        <f t="shared" si="1"/>
        <v>2024</v>
      </c>
      <c r="Q5" t="str">
        <f t="shared" si="2"/>
        <v>Nov</v>
      </c>
      <c r="R5">
        <f t="shared" si="3"/>
        <v>2024</v>
      </c>
      <c r="S5" t="str">
        <f t="shared" si="4"/>
        <v>Nov</v>
      </c>
      <c r="U5" t="s">
        <v>40</v>
      </c>
      <c r="V5" s="4" t="str">
        <f t="shared" ref="V5" si="5">VLOOKUP(U5,F3:G252,2,FALSE)</f>
        <v>Dr. Patel</v>
      </c>
    </row>
    <row r="6" spans="1:22" x14ac:dyDescent="0.3">
      <c r="A6" t="s">
        <v>53</v>
      </c>
      <c r="B6" t="s">
        <v>31</v>
      </c>
      <c r="C6" t="s">
        <v>21</v>
      </c>
      <c r="D6">
        <v>17</v>
      </c>
      <c r="E6" t="s">
        <v>54</v>
      </c>
      <c r="F6" t="s">
        <v>55</v>
      </c>
      <c r="G6" t="s">
        <v>24</v>
      </c>
      <c r="H6" s="3" t="s">
        <v>56</v>
      </c>
      <c r="I6" s="3" t="s">
        <v>57</v>
      </c>
      <c r="J6" t="s">
        <v>52</v>
      </c>
      <c r="K6">
        <v>48803</v>
      </c>
      <c r="L6" t="s">
        <v>58</v>
      </c>
      <c r="M6">
        <v>5</v>
      </c>
      <c r="N6" t="s">
        <v>29</v>
      </c>
      <c r="O6" t="str">
        <f t="shared" si="0"/>
        <v>Child</v>
      </c>
      <c r="P6">
        <f t="shared" si="1"/>
        <v>2024</v>
      </c>
      <c r="Q6" t="str">
        <f t="shared" si="2"/>
        <v>Jun</v>
      </c>
      <c r="R6">
        <f t="shared" si="3"/>
        <v>2024</v>
      </c>
      <c r="S6" t="str">
        <f t="shared" si="4"/>
        <v>Jun</v>
      </c>
    </row>
    <row r="7" spans="1:22" x14ac:dyDescent="0.3">
      <c r="A7" t="s">
        <v>59</v>
      </c>
      <c r="B7" t="s">
        <v>48</v>
      </c>
      <c r="C7" t="s">
        <v>21</v>
      </c>
      <c r="D7">
        <v>38</v>
      </c>
      <c r="E7" t="s">
        <v>60</v>
      </c>
      <c r="F7" t="s">
        <v>61</v>
      </c>
      <c r="G7" t="s">
        <v>62</v>
      </c>
      <c r="H7" s="3" t="s">
        <v>63</v>
      </c>
      <c r="I7" s="3" t="s">
        <v>64</v>
      </c>
      <c r="J7" t="s">
        <v>65</v>
      </c>
      <c r="K7">
        <v>54495</v>
      </c>
      <c r="L7" t="s">
        <v>28</v>
      </c>
      <c r="M7">
        <v>10</v>
      </c>
      <c r="N7" t="s">
        <v>46</v>
      </c>
      <c r="O7" t="str">
        <f t="shared" si="0"/>
        <v>Adult</v>
      </c>
      <c r="P7">
        <f t="shared" si="1"/>
        <v>2024</v>
      </c>
      <c r="Q7" t="str">
        <f t="shared" si="2"/>
        <v>May</v>
      </c>
      <c r="R7">
        <f t="shared" si="3"/>
        <v>2024</v>
      </c>
      <c r="S7" t="str">
        <f t="shared" si="4"/>
        <v>Apr</v>
      </c>
    </row>
    <row r="8" spans="1:22" ht="22.2" customHeight="1" x14ac:dyDescent="0.3">
      <c r="A8" t="s">
        <v>66</v>
      </c>
      <c r="B8" t="s">
        <v>67</v>
      </c>
      <c r="C8" t="s">
        <v>21</v>
      </c>
      <c r="D8">
        <v>54</v>
      </c>
      <c r="E8" t="s">
        <v>49</v>
      </c>
      <c r="F8" t="s">
        <v>68</v>
      </c>
      <c r="G8" t="s">
        <v>24</v>
      </c>
      <c r="H8" s="3" t="s">
        <v>69</v>
      </c>
      <c r="I8" s="3" t="s">
        <v>70</v>
      </c>
      <c r="J8" t="s">
        <v>71</v>
      </c>
      <c r="K8">
        <v>52164</v>
      </c>
      <c r="L8" t="s">
        <v>28</v>
      </c>
      <c r="M8">
        <v>5</v>
      </c>
      <c r="N8" t="s">
        <v>46</v>
      </c>
      <c r="O8" t="str">
        <f t="shared" si="0"/>
        <v>Adult</v>
      </c>
      <c r="P8">
        <f t="shared" si="1"/>
        <v>2024</v>
      </c>
      <c r="Q8" t="str">
        <f t="shared" si="2"/>
        <v>May</v>
      </c>
      <c r="R8">
        <f t="shared" si="3"/>
        <v>2024</v>
      </c>
      <c r="S8" t="str">
        <f t="shared" si="4"/>
        <v>Apr</v>
      </c>
      <c r="U8" s="1" t="s">
        <v>597</v>
      </c>
    </row>
    <row r="9" spans="1:22" x14ac:dyDescent="0.3">
      <c r="A9" t="s">
        <v>72</v>
      </c>
      <c r="B9" t="s">
        <v>73</v>
      </c>
      <c r="C9" t="s">
        <v>32</v>
      </c>
      <c r="D9">
        <v>85</v>
      </c>
      <c r="E9" t="s">
        <v>74</v>
      </c>
      <c r="F9" t="s">
        <v>40</v>
      </c>
      <c r="G9" t="s">
        <v>41</v>
      </c>
      <c r="H9" s="3" t="s">
        <v>75</v>
      </c>
      <c r="I9" s="3" t="s">
        <v>76</v>
      </c>
      <c r="J9" t="s">
        <v>71</v>
      </c>
      <c r="K9">
        <v>18654</v>
      </c>
      <c r="L9" t="s">
        <v>58</v>
      </c>
      <c r="M9">
        <v>4</v>
      </c>
      <c r="N9" t="s">
        <v>77</v>
      </c>
      <c r="O9" t="str">
        <f t="shared" si="0"/>
        <v>Senior</v>
      </c>
      <c r="P9">
        <f t="shared" si="1"/>
        <v>2024</v>
      </c>
      <c r="Q9" t="str">
        <f t="shared" si="2"/>
        <v>Aug</v>
      </c>
      <c r="R9">
        <f t="shared" si="3"/>
        <v>2024</v>
      </c>
      <c r="S9" t="str">
        <f t="shared" si="4"/>
        <v>Aug</v>
      </c>
      <c r="U9" s="1" t="s">
        <v>598</v>
      </c>
    </row>
    <row r="10" spans="1:22" x14ac:dyDescent="0.3">
      <c r="A10" t="s">
        <v>78</v>
      </c>
      <c r="B10" t="s">
        <v>79</v>
      </c>
      <c r="C10" t="s">
        <v>21</v>
      </c>
      <c r="D10">
        <v>65</v>
      </c>
      <c r="E10" t="s">
        <v>22</v>
      </c>
      <c r="F10" t="s">
        <v>80</v>
      </c>
      <c r="G10" t="s">
        <v>81</v>
      </c>
      <c r="H10" s="3" t="s">
        <v>82</v>
      </c>
      <c r="I10" s="3" t="s">
        <v>83</v>
      </c>
      <c r="J10" t="s">
        <v>71</v>
      </c>
      <c r="K10">
        <v>39633</v>
      </c>
      <c r="L10" t="s">
        <v>58</v>
      </c>
      <c r="M10">
        <v>10</v>
      </c>
      <c r="N10" t="s">
        <v>29</v>
      </c>
      <c r="O10" t="str">
        <f t="shared" si="0"/>
        <v>Senior</v>
      </c>
      <c r="P10">
        <f t="shared" si="1"/>
        <v>2024</v>
      </c>
      <c r="Q10" t="str">
        <f t="shared" si="2"/>
        <v>Apr</v>
      </c>
      <c r="R10">
        <f t="shared" si="3"/>
        <v>2024</v>
      </c>
      <c r="S10" t="str">
        <f t="shared" si="4"/>
        <v>Mar</v>
      </c>
      <c r="U10" s="7" t="s">
        <v>0</v>
      </c>
      <c r="V10" s="7" t="s">
        <v>6</v>
      </c>
    </row>
    <row r="11" spans="1:22" x14ac:dyDescent="0.3">
      <c r="A11" t="s">
        <v>84</v>
      </c>
      <c r="B11" t="s">
        <v>79</v>
      </c>
      <c r="C11" t="s">
        <v>32</v>
      </c>
      <c r="D11">
        <v>1</v>
      </c>
      <c r="E11" t="s">
        <v>49</v>
      </c>
      <c r="F11" t="s">
        <v>23</v>
      </c>
      <c r="G11" t="s">
        <v>62</v>
      </c>
      <c r="H11" s="3" t="s">
        <v>85</v>
      </c>
      <c r="I11" s="3" t="s">
        <v>86</v>
      </c>
      <c r="J11" t="s">
        <v>36</v>
      </c>
      <c r="K11">
        <v>34873</v>
      </c>
      <c r="L11" t="s">
        <v>58</v>
      </c>
      <c r="M11">
        <v>6</v>
      </c>
      <c r="N11" t="s">
        <v>77</v>
      </c>
      <c r="O11" t="str">
        <f t="shared" si="0"/>
        <v>Child</v>
      </c>
      <c r="P11">
        <f t="shared" si="1"/>
        <v>2024</v>
      </c>
      <c r="Q11" t="str">
        <f t="shared" si="2"/>
        <v>Jan</v>
      </c>
      <c r="R11">
        <f t="shared" si="3"/>
        <v>2024</v>
      </c>
      <c r="S11" t="str">
        <f t="shared" si="4"/>
        <v>Jan</v>
      </c>
      <c r="U11" t="s">
        <v>30</v>
      </c>
      <c r="V11" s="5" t="str">
        <f>INDEX(G:G, MATCH(U11, A:A, 0))</f>
        <v>Dr. Gupta</v>
      </c>
    </row>
    <row r="12" spans="1:22" x14ac:dyDescent="0.3">
      <c r="A12" t="s">
        <v>87</v>
      </c>
      <c r="B12" t="s">
        <v>79</v>
      </c>
      <c r="C12" t="s">
        <v>21</v>
      </c>
      <c r="D12">
        <v>36</v>
      </c>
      <c r="E12" t="s">
        <v>39</v>
      </c>
      <c r="F12" t="s">
        <v>40</v>
      </c>
      <c r="G12" t="s">
        <v>88</v>
      </c>
      <c r="H12" s="3" t="s">
        <v>89</v>
      </c>
      <c r="I12" s="3" t="s">
        <v>90</v>
      </c>
      <c r="J12" t="s">
        <v>71</v>
      </c>
      <c r="K12">
        <v>94728</v>
      </c>
      <c r="L12" t="s">
        <v>58</v>
      </c>
      <c r="M12">
        <v>10</v>
      </c>
      <c r="N12" t="s">
        <v>29</v>
      </c>
      <c r="O12" t="str">
        <f t="shared" si="0"/>
        <v>Adult</v>
      </c>
      <c r="P12">
        <f t="shared" si="1"/>
        <v>2024</v>
      </c>
      <c r="Q12" t="str">
        <f t="shared" si="2"/>
        <v>Sep</v>
      </c>
      <c r="R12">
        <f t="shared" si="3"/>
        <v>2024</v>
      </c>
      <c r="S12" t="str">
        <f t="shared" si="4"/>
        <v>Sep</v>
      </c>
    </row>
    <row r="13" spans="1:22" x14ac:dyDescent="0.3">
      <c r="A13" t="s">
        <v>91</v>
      </c>
      <c r="B13" t="s">
        <v>48</v>
      </c>
      <c r="C13" t="s">
        <v>32</v>
      </c>
      <c r="D13">
        <v>3</v>
      </c>
      <c r="E13" t="s">
        <v>74</v>
      </c>
      <c r="F13" t="s">
        <v>40</v>
      </c>
      <c r="G13" t="s">
        <v>24</v>
      </c>
      <c r="H13" s="3" t="s">
        <v>92</v>
      </c>
      <c r="I13" s="3" t="s">
        <v>93</v>
      </c>
      <c r="J13" t="s">
        <v>44</v>
      </c>
      <c r="K13">
        <v>78145</v>
      </c>
      <c r="L13" t="s">
        <v>28</v>
      </c>
      <c r="M13">
        <v>3</v>
      </c>
      <c r="N13" t="s">
        <v>46</v>
      </c>
      <c r="O13" t="str">
        <f t="shared" si="0"/>
        <v>Child</v>
      </c>
      <c r="P13">
        <f t="shared" si="1"/>
        <v>2024</v>
      </c>
      <c r="Q13" t="str">
        <f t="shared" si="2"/>
        <v>May</v>
      </c>
      <c r="R13">
        <f t="shared" si="3"/>
        <v>2024</v>
      </c>
      <c r="S13" t="str">
        <f t="shared" si="4"/>
        <v>May</v>
      </c>
      <c r="U13" s="1" t="s">
        <v>599</v>
      </c>
    </row>
    <row r="14" spans="1:22" x14ac:dyDescent="0.3">
      <c r="A14" t="s">
        <v>94</v>
      </c>
      <c r="B14" t="s">
        <v>20</v>
      </c>
      <c r="C14" t="s">
        <v>32</v>
      </c>
      <c r="D14">
        <v>81</v>
      </c>
      <c r="E14" t="s">
        <v>39</v>
      </c>
      <c r="F14" t="s">
        <v>68</v>
      </c>
      <c r="G14" t="s">
        <v>41</v>
      </c>
      <c r="H14" s="3" t="s">
        <v>95</v>
      </c>
      <c r="I14" s="3" t="s">
        <v>96</v>
      </c>
      <c r="J14" t="s">
        <v>52</v>
      </c>
      <c r="K14">
        <v>48736</v>
      </c>
      <c r="L14" t="s">
        <v>45</v>
      </c>
      <c r="M14">
        <v>6</v>
      </c>
      <c r="N14" t="s">
        <v>29</v>
      </c>
      <c r="O14" t="str">
        <f t="shared" si="0"/>
        <v>Senior</v>
      </c>
      <c r="P14">
        <f t="shared" si="1"/>
        <v>2024</v>
      </c>
      <c r="Q14" t="str">
        <f t="shared" si="2"/>
        <v>Jul</v>
      </c>
      <c r="R14">
        <f t="shared" si="3"/>
        <v>2024</v>
      </c>
      <c r="S14" t="str">
        <f t="shared" si="4"/>
        <v>Jul</v>
      </c>
      <c r="U14" t="s">
        <v>600</v>
      </c>
      <c r="V14" t="s">
        <v>601</v>
      </c>
    </row>
    <row r="15" spans="1:22" x14ac:dyDescent="0.3">
      <c r="A15" t="s">
        <v>97</v>
      </c>
      <c r="B15" t="s">
        <v>67</v>
      </c>
      <c r="C15" t="s">
        <v>21</v>
      </c>
      <c r="D15">
        <v>85</v>
      </c>
      <c r="E15" t="s">
        <v>60</v>
      </c>
      <c r="F15" t="s">
        <v>55</v>
      </c>
      <c r="G15" t="s">
        <v>41</v>
      </c>
      <c r="H15" s="3" t="s">
        <v>98</v>
      </c>
      <c r="I15" s="3" t="s">
        <v>99</v>
      </c>
      <c r="J15" t="s">
        <v>44</v>
      </c>
      <c r="K15">
        <v>57756</v>
      </c>
      <c r="L15" t="s">
        <v>28</v>
      </c>
      <c r="M15">
        <v>10</v>
      </c>
      <c r="N15" t="s">
        <v>29</v>
      </c>
      <c r="O15" t="str">
        <f t="shared" si="0"/>
        <v>Senior</v>
      </c>
      <c r="P15">
        <f t="shared" si="1"/>
        <v>2024</v>
      </c>
      <c r="Q15" t="str">
        <f t="shared" si="2"/>
        <v>May</v>
      </c>
      <c r="R15">
        <f t="shared" si="3"/>
        <v>2024</v>
      </c>
      <c r="S15" t="str">
        <f t="shared" si="4"/>
        <v>Apr</v>
      </c>
      <c r="U15" t="s">
        <v>602</v>
      </c>
      <c r="V15" t="s">
        <v>603</v>
      </c>
    </row>
    <row r="16" spans="1:22" x14ac:dyDescent="0.3">
      <c r="A16" t="s">
        <v>100</v>
      </c>
      <c r="B16" t="s">
        <v>101</v>
      </c>
      <c r="C16" t="s">
        <v>32</v>
      </c>
      <c r="D16">
        <v>57</v>
      </c>
      <c r="E16" t="s">
        <v>39</v>
      </c>
      <c r="F16" t="s">
        <v>40</v>
      </c>
      <c r="G16" t="s">
        <v>62</v>
      </c>
      <c r="H16" s="3" t="s">
        <v>102</v>
      </c>
      <c r="I16" s="3" t="s">
        <v>63</v>
      </c>
      <c r="J16" t="s">
        <v>103</v>
      </c>
      <c r="K16">
        <v>71795</v>
      </c>
      <c r="L16" t="s">
        <v>45</v>
      </c>
      <c r="M16">
        <v>9</v>
      </c>
      <c r="N16" t="s">
        <v>46</v>
      </c>
      <c r="O16" t="str">
        <f t="shared" si="0"/>
        <v>Adult</v>
      </c>
      <c r="P16">
        <f t="shared" si="1"/>
        <v>2024</v>
      </c>
      <c r="Q16" t="str">
        <f t="shared" si="2"/>
        <v>Apr</v>
      </c>
      <c r="R16">
        <f t="shared" si="3"/>
        <v>2024</v>
      </c>
      <c r="S16" t="str">
        <f t="shared" si="4"/>
        <v>Apr</v>
      </c>
      <c r="U16" s="5" t="str">
        <f>IF(K7&gt;50000,"High Cost","Low Cost")</f>
        <v>High Cost</v>
      </c>
    </row>
    <row r="17" spans="1:22" x14ac:dyDescent="0.3">
      <c r="A17" t="s">
        <v>104</v>
      </c>
      <c r="B17" t="s">
        <v>105</v>
      </c>
      <c r="C17" t="s">
        <v>21</v>
      </c>
      <c r="D17">
        <v>36</v>
      </c>
      <c r="E17" t="s">
        <v>39</v>
      </c>
      <c r="F17" t="s">
        <v>55</v>
      </c>
      <c r="G17" t="s">
        <v>24</v>
      </c>
      <c r="H17" s="3" t="s">
        <v>106</v>
      </c>
      <c r="I17" s="3" t="s">
        <v>107</v>
      </c>
      <c r="J17" t="s">
        <v>36</v>
      </c>
      <c r="K17">
        <v>35862</v>
      </c>
      <c r="L17" t="s">
        <v>45</v>
      </c>
      <c r="M17">
        <v>1</v>
      </c>
      <c r="N17" t="s">
        <v>46</v>
      </c>
      <c r="O17" t="str">
        <f t="shared" si="0"/>
        <v>Adult</v>
      </c>
      <c r="P17">
        <f t="shared" si="1"/>
        <v>2024</v>
      </c>
      <c r="Q17" t="str">
        <f t="shared" si="2"/>
        <v>Jan</v>
      </c>
      <c r="R17">
        <f t="shared" si="3"/>
        <v>2024</v>
      </c>
      <c r="S17" t="str">
        <f t="shared" si="4"/>
        <v>Jan</v>
      </c>
    </row>
    <row r="18" spans="1:22" x14ac:dyDescent="0.3">
      <c r="A18" t="s">
        <v>108</v>
      </c>
      <c r="B18" t="s">
        <v>109</v>
      </c>
      <c r="C18" t="s">
        <v>32</v>
      </c>
      <c r="D18">
        <v>81</v>
      </c>
      <c r="E18" t="s">
        <v>54</v>
      </c>
      <c r="F18" t="s">
        <v>110</v>
      </c>
      <c r="G18" t="s">
        <v>111</v>
      </c>
      <c r="H18" s="3" t="s">
        <v>112</v>
      </c>
      <c r="I18" s="3" t="s">
        <v>113</v>
      </c>
      <c r="J18" t="s">
        <v>52</v>
      </c>
      <c r="K18">
        <v>16331</v>
      </c>
      <c r="L18" t="s">
        <v>58</v>
      </c>
      <c r="M18">
        <v>10</v>
      </c>
      <c r="N18" t="s">
        <v>46</v>
      </c>
      <c r="O18" t="str">
        <f t="shared" si="0"/>
        <v>Senior</v>
      </c>
      <c r="P18">
        <f t="shared" si="1"/>
        <v>2024</v>
      </c>
      <c r="Q18" t="str">
        <f t="shared" si="2"/>
        <v>Jun</v>
      </c>
      <c r="R18">
        <f t="shared" si="3"/>
        <v>2024</v>
      </c>
      <c r="S18" t="str">
        <f t="shared" si="4"/>
        <v>Jun</v>
      </c>
      <c r="U18" s="1" t="s">
        <v>604</v>
      </c>
    </row>
    <row r="19" spans="1:22" x14ac:dyDescent="0.3">
      <c r="A19" t="s">
        <v>114</v>
      </c>
      <c r="B19" t="s">
        <v>79</v>
      </c>
      <c r="C19" t="s">
        <v>32</v>
      </c>
      <c r="D19">
        <v>77</v>
      </c>
      <c r="E19" t="s">
        <v>49</v>
      </c>
      <c r="F19" t="s">
        <v>55</v>
      </c>
      <c r="G19" t="s">
        <v>111</v>
      </c>
      <c r="H19" s="3" t="s">
        <v>115</v>
      </c>
      <c r="I19" s="3" t="s">
        <v>116</v>
      </c>
      <c r="J19" t="s">
        <v>44</v>
      </c>
      <c r="K19">
        <v>12417</v>
      </c>
      <c r="L19" t="s">
        <v>45</v>
      </c>
      <c r="M19">
        <v>1</v>
      </c>
      <c r="N19" t="s">
        <v>29</v>
      </c>
      <c r="O19" t="str">
        <f t="shared" si="0"/>
        <v>Senior</v>
      </c>
      <c r="P19">
        <f t="shared" si="1"/>
        <v>2024</v>
      </c>
      <c r="Q19" t="str">
        <f t="shared" si="2"/>
        <v>Jun</v>
      </c>
      <c r="R19">
        <f t="shared" si="3"/>
        <v>2024</v>
      </c>
      <c r="S19" t="str">
        <f t="shared" si="4"/>
        <v>Jun</v>
      </c>
      <c r="U19" t="s">
        <v>605</v>
      </c>
      <c r="V19" t="s">
        <v>606</v>
      </c>
    </row>
    <row r="20" spans="1:22" x14ac:dyDescent="0.3">
      <c r="A20" t="s">
        <v>117</v>
      </c>
      <c r="B20" t="s">
        <v>118</v>
      </c>
      <c r="C20" t="s">
        <v>32</v>
      </c>
      <c r="D20">
        <v>71</v>
      </c>
      <c r="E20" t="s">
        <v>49</v>
      </c>
      <c r="F20" t="s">
        <v>110</v>
      </c>
      <c r="G20" t="s">
        <v>62</v>
      </c>
      <c r="H20" s="3" t="s">
        <v>119</v>
      </c>
      <c r="I20" s="3" t="s">
        <v>120</v>
      </c>
      <c r="J20" t="s">
        <v>44</v>
      </c>
      <c r="K20">
        <v>49937</v>
      </c>
      <c r="L20" t="s">
        <v>58</v>
      </c>
      <c r="M20">
        <v>4</v>
      </c>
      <c r="N20" t="s">
        <v>29</v>
      </c>
      <c r="O20" t="str">
        <f t="shared" si="0"/>
        <v>Senior</v>
      </c>
      <c r="P20">
        <f t="shared" si="1"/>
        <v>2024</v>
      </c>
      <c r="Q20" t="str">
        <f t="shared" si="2"/>
        <v>Oct</v>
      </c>
      <c r="R20">
        <f t="shared" si="3"/>
        <v>2024</v>
      </c>
      <c r="S20" t="str">
        <f t="shared" si="4"/>
        <v>Oct</v>
      </c>
      <c r="U20" t="s">
        <v>607</v>
      </c>
      <c r="V20" t="s">
        <v>608</v>
      </c>
    </row>
    <row r="21" spans="1:22" x14ac:dyDescent="0.3">
      <c r="A21" t="s">
        <v>121</v>
      </c>
      <c r="B21" t="s">
        <v>122</v>
      </c>
      <c r="C21" t="s">
        <v>21</v>
      </c>
      <c r="D21">
        <v>44</v>
      </c>
      <c r="E21" t="s">
        <v>22</v>
      </c>
      <c r="F21" t="s">
        <v>40</v>
      </c>
      <c r="G21" t="s">
        <v>24</v>
      </c>
      <c r="H21" s="3" t="s">
        <v>123</v>
      </c>
      <c r="I21" s="3" t="s">
        <v>124</v>
      </c>
      <c r="J21" t="s">
        <v>44</v>
      </c>
      <c r="K21">
        <v>70833</v>
      </c>
      <c r="L21" t="s">
        <v>28</v>
      </c>
      <c r="M21">
        <v>8</v>
      </c>
      <c r="N21" t="s">
        <v>77</v>
      </c>
      <c r="O21" t="str">
        <f t="shared" si="0"/>
        <v>Adult</v>
      </c>
      <c r="P21">
        <f t="shared" si="1"/>
        <v>2024</v>
      </c>
      <c r="Q21" t="str">
        <f t="shared" si="2"/>
        <v>Apr</v>
      </c>
      <c r="R21">
        <f t="shared" si="3"/>
        <v>2024</v>
      </c>
      <c r="S21" t="str">
        <f t="shared" si="4"/>
        <v>Mar</v>
      </c>
      <c r="U21" t="s">
        <v>602</v>
      </c>
      <c r="V21" t="s">
        <v>609</v>
      </c>
    </row>
    <row r="22" spans="1:22" x14ac:dyDescent="0.3">
      <c r="A22" t="s">
        <v>125</v>
      </c>
      <c r="B22" t="s">
        <v>31</v>
      </c>
      <c r="C22" t="s">
        <v>32</v>
      </c>
      <c r="D22">
        <v>72</v>
      </c>
      <c r="E22" t="s">
        <v>49</v>
      </c>
      <c r="F22" t="s">
        <v>40</v>
      </c>
      <c r="G22" t="s">
        <v>24</v>
      </c>
      <c r="H22" s="3" t="s">
        <v>126</v>
      </c>
      <c r="I22" s="3" t="s">
        <v>127</v>
      </c>
      <c r="J22" t="s">
        <v>71</v>
      </c>
      <c r="K22">
        <v>69389</v>
      </c>
      <c r="L22" t="s">
        <v>58</v>
      </c>
      <c r="M22">
        <v>2</v>
      </c>
      <c r="N22" t="s">
        <v>29</v>
      </c>
      <c r="O22" t="str">
        <f t="shared" si="0"/>
        <v>Senior</v>
      </c>
      <c r="P22">
        <f t="shared" si="1"/>
        <v>2024</v>
      </c>
      <c r="Q22" t="str">
        <f t="shared" si="2"/>
        <v>Oct</v>
      </c>
      <c r="R22">
        <f t="shared" si="3"/>
        <v>2024</v>
      </c>
      <c r="S22" t="str">
        <f t="shared" si="4"/>
        <v>Oct</v>
      </c>
      <c r="U22" s="5" t="str">
        <f>IF(K7&gt;70000,"High",IF(K7&gt;30000,"Medium","Low"))</f>
        <v>Medium</v>
      </c>
    </row>
    <row r="23" spans="1:22" x14ac:dyDescent="0.3">
      <c r="A23" t="s">
        <v>128</v>
      </c>
      <c r="B23" t="s">
        <v>129</v>
      </c>
      <c r="C23" t="s">
        <v>21</v>
      </c>
      <c r="D23">
        <v>7</v>
      </c>
      <c r="E23" t="s">
        <v>33</v>
      </c>
      <c r="F23" t="s">
        <v>40</v>
      </c>
      <c r="G23" t="s">
        <v>111</v>
      </c>
      <c r="H23" s="3" t="s">
        <v>130</v>
      </c>
      <c r="I23" s="3" t="s">
        <v>131</v>
      </c>
      <c r="J23" t="s">
        <v>27</v>
      </c>
      <c r="K23">
        <v>98204</v>
      </c>
      <c r="L23" t="s">
        <v>58</v>
      </c>
      <c r="M23">
        <v>2</v>
      </c>
      <c r="N23" t="s">
        <v>29</v>
      </c>
      <c r="O23" t="str">
        <f t="shared" si="0"/>
        <v>Child</v>
      </c>
      <c r="P23">
        <f t="shared" si="1"/>
        <v>2024</v>
      </c>
      <c r="Q23" t="str">
        <f t="shared" si="2"/>
        <v>Nov</v>
      </c>
      <c r="R23">
        <f t="shared" si="3"/>
        <v>2024</v>
      </c>
      <c r="S23" t="str">
        <f t="shared" si="4"/>
        <v>Nov</v>
      </c>
    </row>
    <row r="24" spans="1:22" x14ac:dyDescent="0.3">
      <c r="A24" t="s">
        <v>132</v>
      </c>
      <c r="B24" t="s">
        <v>118</v>
      </c>
      <c r="C24" t="s">
        <v>32</v>
      </c>
      <c r="D24">
        <v>14</v>
      </c>
      <c r="E24" t="s">
        <v>39</v>
      </c>
      <c r="F24" t="s">
        <v>61</v>
      </c>
      <c r="G24" t="s">
        <v>81</v>
      </c>
      <c r="H24" s="3" t="s">
        <v>133</v>
      </c>
      <c r="I24" s="3" t="s">
        <v>134</v>
      </c>
      <c r="J24" t="s">
        <v>36</v>
      </c>
      <c r="K24">
        <v>14139</v>
      </c>
      <c r="L24" t="s">
        <v>28</v>
      </c>
      <c r="M24">
        <v>1</v>
      </c>
      <c r="N24" t="s">
        <v>77</v>
      </c>
      <c r="O24" t="str">
        <f t="shared" si="0"/>
        <v>Child</v>
      </c>
      <c r="P24">
        <f t="shared" si="1"/>
        <v>2024</v>
      </c>
      <c r="Q24" t="str">
        <f t="shared" si="2"/>
        <v>Dec</v>
      </c>
      <c r="R24">
        <f t="shared" si="3"/>
        <v>2024</v>
      </c>
      <c r="S24" t="str">
        <f t="shared" si="4"/>
        <v>Dec</v>
      </c>
    </row>
    <row r="25" spans="1:22" x14ac:dyDescent="0.3">
      <c r="A25" t="s">
        <v>135</v>
      </c>
      <c r="B25" t="s">
        <v>105</v>
      </c>
      <c r="C25" t="s">
        <v>32</v>
      </c>
      <c r="D25">
        <v>79</v>
      </c>
      <c r="E25" t="s">
        <v>39</v>
      </c>
      <c r="F25" t="s">
        <v>80</v>
      </c>
      <c r="G25" t="s">
        <v>41</v>
      </c>
      <c r="H25" s="3" t="s">
        <v>136</v>
      </c>
      <c r="I25" s="3" t="s">
        <v>120</v>
      </c>
      <c r="J25" t="s">
        <v>103</v>
      </c>
      <c r="K25">
        <v>77514</v>
      </c>
      <c r="L25" t="s">
        <v>58</v>
      </c>
      <c r="M25">
        <v>5</v>
      </c>
      <c r="N25" t="s">
        <v>77</v>
      </c>
      <c r="O25" t="str">
        <f t="shared" si="0"/>
        <v>Senior</v>
      </c>
      <c r="P25">
        <f t="shared" si="1"/>
        <v>2024</v>
      </c>
      <c r="Q25" t="str">
        <f t="shared" si="2"/>
        <v>Oct</v>
      </c>
      <c r="R25">
        <f t="shared" si="3"/>
        <v>2024</v>
      </c>
      <c r="S25" t="str">
        <f t="shared" si="4"/>
        <v>Oct</v>
      </c>
    </row>
    <row r="26" spans="1:22" x14ac:dyDescent="0.3">
      <c r="A26" t="s">
        <v>137</v>
      </c>
      <c r="B26" t="s">
        <v>129</v>
      </c>
      <c r="C26" t="s">
        <v>32</v>
      </c>
      <c r="D26">
        <v>71</v>
      </c>
      <c r="E26" t="s">
        <v>74</v>
      </c>
      <c r="F26" t="s">
        <v>68</v>
      </c>
      <c r="G26" t="s">
        <v>81</v>
      </c>
      <c r="H26" s="3" t="s">
        <v>42</v>
      </c>
      <c r="I26" s="3" t="s">
        <v>138</v>
      </c>
      <c r="J26" t="s">
        <v>103</v>
      </c>
      <c r="K26">
        <v>95037</v>
      </c>
      <c r="L26" t="s">
        <v>45</v>
      </c>
      <c r="M26">
        <v>3</v>
      </c>
      <c r="N26" t="s">
        <v>46</v>
      </c>
      <c r="O26" t="str">
        <f t="shared" si="0"/>
        <v>Senior</v>
      </c>
      <c r="P26">
        <f t="shared" si="1"/>
        <v>2024</v>
      </c>
      <c r="Q26" t="str">
        <f t="shared" si="2"/>
        <v>Oct</v>
      </c>
      <c r="R26">
        <f t="shared" si="3"/>
        <v>2024</v>
      </c>
      <c r="S26" t="str">
        <f t="shared" si="4"/>
        <v>Oct</v>
      </c>
    </row>
    <row r="27" spans="1:22" x14ac:dyDescent="0.3">
      <c r="A27" t="s">
        <v>139</v>
      </c>
      <c r="B27" t="s">
        <v>140</v>
      </c>
      <c r="C27" t="s">
        <v>32</v>
      </c>
      <c r="D27">
        <v>60</v>
      </c>
      <c r="E27" t="s">
        <v>33</v>
      </c>
      <c r="F27" t="s">
        <v>55</v>
      </c>
      <c r="G27" t="s">
        <v>111</v>
      </c>
      <c r="H27" s="3" t="s">
        <v>141</v>
      </c>
      <c r="I27" s="3" t="s">
        <v>142</v>
      </c>
      <c r="J27" t="s">
        <v>71</v>
      </c>
      <c r="K27">
        <v>91292</v>
      </c>
      <c r="L27" t="s">
        <v>28</v>
      </c>
      <c r="M27">
        <v>10</v>
      </c>
      <c r="N27" t="s">
        <v>77</v>
      </c>
      <c r="O27" t="str">
        <f t="shared" si="0"/>
        <v>Adult</v>
      </c>
      <c r="P27">
        <f t="shared" si="1"/>
        <v>2024</v>
      </c>
      <c r="Q27" t="str">
        <f t="shared" si="2"/>
        <v>Jun</v>
      </c>
      <c r="R27">
        <f t="shared" si="3"/>
        <v>2024</v>
      </c>
      <c r="S27" t="str">
        <f t="shared" si="4"/>
        <v>May</v>
      </c>
    </row>
    <row r="28" spans="1:22" x14ac:dyDescent="0.3">
      <c r="A28" t="s">
        <v>143</v>
      </c>
      <c r="B28" t="s">
        <v>144</v>
      </c>
      <c r="C28" t="s">
        <v>32</v>
      </c>
      <c r="D28">
        <v>62</v>
      </c>
      <c r="E28" t="s">
        <v>60</v>
      </c>
      <c r="F28" t="s">
        <v>80</v>
      </c>
      <c r="G28" t="s">
        <v>81</v>
      </c>
      <c r="H28" s="3" t="s">
        <v>145</v>
      </c>
      <c r="I28" s="3" t="s">
        <v>146</v>
      </c>
      <c r="J28" t="s">
        <v>52</v>
      </c>
      <c r="K28">
        <v>86746</v>
      </c>
      <c r="L28" t="s">
        <v>28</v>
      </c>
      <c r="M28">
        <v>1</v>
      </c>
      <c r="N28" t="s">
        <v>46</v>
      </c>
      <c r="O28" t="str">
        <f t="shared" si="0"/>
        <v>Senior</v>
      </c>
      <c r="P28">
        <f t="shared" si="1"/>
        <v>2024</v>
      </c>
      <c r="Q28" t="str">
        <f t="shared" si="2"/>
        <v>Oct</v>
      </c>
      <c r="R28">
        <f t="shared" si="3"/>
        <v>2024</v>
      </c>
      <c r="S28" t="str">
        <f t="shared" si="4"/>
        <v>Oct</v>
      </c>
    </row>
    <row r="29" spans="1:22" x14ac:dyDescent="0.3">
      <c r="A29" t="s">
        <v>147</v>
      </c>
      <c r="B29" t="s">
        <v>48</v>
      </c>
      <c r="C29" t="s">
        <v>32</v>
      </c>
      <c r="D29">
        <v>84</v>
      </c>
      <c r="E29" t="s">
        <v>33</v>
      </c>
      <c r="F29" t="s">
        <v>110</v>
      </c>
      <c r="G29" t="s">
        <v>111</v>
      </c>
      <c r="H29" s="3" t="s">
        <v>148</v>
      </c>
      <c r="I29" s="3" t="s">
        <v>149</v>
      </c>
      <c r="J29" t="s">
        <v>52</v>
      </c>
      <c r="K29">
        <v>55885</v>
      </c>
      <c r="L29" t="s">
        <v>28</v>
      </c>
      <c r="M29">
        <v>2</v>
      </c>
      <c r="N29" t="s">
        <v>77</v>
      </c>
      <c r="O29" t="str">
        <f t="shared" si="0"/>
        <v>Senior</v>
      </c>
      <c r="P29">
        <f t="shared" si="1"/>
        <v>2024</v>
      </c>
      <c r="Q29" t="str">
        <f t="shared" si="2"/>
        <v>Feb</v>
      </c>
      <c r="R29">
        <f t="shared" si="3"/>
        <v>2024</v>
      </c>
      <c r="S29" t="str">
        <f t="shared" si="4"/>
        <v>Feb</v>
      </c>
    </row>
    <row r="30" spans="1:22" x14ac:dyDescent="0.3">
      <c r="A30" t="s">
        <v>150</v>
      </c>
      <c r="B30" t="s">
        <v>105</v>
      </c>
      <c r="C30" t="s">
        <v>21</v>
      </c>
      <c r="D30">
        <v>21</v>
      </c>
      <c r="E30" t="s">
        <v>74</v>
      </c>
      <c r="F30" t="s">
        <v>68</v>
      </c>
      <c r="G30" t="s">
        <v>111</v>
      </c>
      <c r="H30" s="3" t="s">
        <v>95</v>
      </c>
      <c r="I30" s="3" t="s">
        <v>151</v>
      </c>
      <c r="J30" t="s">
        <v>44</v>
      </c>
      <c r="K30">
        <v>22591</v>
      </c>
      <c r="L30" t="s">
        <v>58</v>
      </c>
      <c r="M30">
        <v>8</v>
      </c>
      <c r="N30" t="s">
        <v>77</v>
      </c>
      <c r="O30" t="str">
        <f t="shared" si="0"/>
        <v>Adult</v>
      </c>
      <c r="P30">
        <f t="shared" si="1"/>
        <v>2024</v>
      </c>
      <c r="Q30" t="str">
        <f t="shared" si="2"/>
        <v>Aug</v>
      </c>
      <c r="R30">
        <f t="shared" si="3"/>
        <v>2024</v>
      </c>
      <c r="S30" t="str">
        <f t="shared" si="4"/>
        <v>Jul</v>
      </c>
    </row>
    <row r="31" spans="1:22" x14ac:dyDescent="0.3">
      <c r="A31" t="s">
        <v>152</v>
      </c>
      <c r="B31" t="s">
        <v>153</v>
      </c>
      <c r="C31" t="s">
        <v>32</v>
      </c>
      <c r="D31">
        <v>32</v>
      </c>
      <c r="E31" t="s">
        <v>22</v>
      </c>
      <c r="F31" t="s">
        <v>23</v>
      </c>
      <c r="G31" t="s">
        <v>88</v>
      </c>
      <c r="H31" s="3" t="s">
        <v>154</v>
      </c>
      <c r="I31" s="3" t="s">
        <v>155</v>
      </c>
      <c r="J31" t="s">
        <v>65</v>
      </c>
      <c r="K31">
        <v>99597</v>
      </c>
      <c r="L31" t="s">
        <v>28</v>
      </c>
      <c r="M31">
        <v>7</v>
      </c>
      <c r="N31" t="s">
        <v>77</v>
      </c>
      <c r="O31" t="str">
        <f t="shared" si="0"/>
        <v>Adult</v>
      </c>
      <c r="P31">
        <f t="shared" si="1"/>
        <v>2024</v>
      </c>
      <c r="Q31" t="str">
        <f t="shared" si="2"/>
        <v>Aug</v>
      </c>
      <c r="R31">
        <f t="shared" si="3"/>
        <v>2024</v>
      </c>
      <c r="S31" t="str">
        <f t="shared" si="4"/>
        <v>Aug</v>
      </c>
    </row>
    <row r="32" spans="1:22" x14ac:dyDescent="0.3">
      <c r="A32" t="s">
        <v>156</v>
      </c>
      <c r="B32" t="s">
        <v>31</v>
      </c>
      <c r="C32" t="s">
        <v>21</v>
      </c>
      <c r="D32">
        <v>26</v>
      </c>
      <c r="E32" t="s">
        <v>33</v>
      </c>
      <c r="F32" t="s">
        <v>55</v>
      </c>
      <c r="G32" t="s">
        <v>111</v>
      </c>
      <c r="H32" s="3" t="s">
        <v>51</v>
      </c>
      <c r="I32" s="3" t="s">
        <v>157</v>
      </c>
      <c r="J32" t="s">
        <v>44</v>
      </c>
      <c r="K32">
        <v>42369</v>
      </c>
      <c r="L32" t="s">
        <v>58</v>
      </c>
      <c r="M32">
        <v>10</v>
      </c>
      <c r="N32" t="s">
        <v>46</v>
      </c>
      <c r="O32" t="str">
        <f t="shared" si="0"/>
        <v>Adult</v>
      </c>
      <c r="P32">
        <f t="shared" si="1"/>
        <v>2024</v>
      </c>
      <c r="Q32" t="str">
        <f t="shared" si="2"/>
        <v>Dec</v>
      </c>
      <c r="R32">
        <f t="shared" si="3"/>
        <v>2024</v>
      </c>
      <c r="S32" t="str">
        <f t="shared" si="4"/>
        <v>Nov</v>
      </c>
    </row>
    <row r="33" spans="1:19" x14ac:dyDescent="0.3">
      <c r="A33" t="s">
        <v>158</v>
      </c>
      <c r="B33" t="s">
        <v>73</v>
      </c>
      <c r="C33" t="s">
        <v>32</v>
      </c>
      <c r="D33">
        <v>46</v>
      </c>
      <c r="E33" t="s">
        <v>49</v>
      </c>
      <c r="F33" t="s">
        <v>110</v>
      </c>
      <c r="G33" t="s">
        <v>24</v>
      </c>
      <c r="H33" s="3" t="s">
        <v>159</v>
      </c>
      <c r="I33" s="3" t="s">
        <v>160</v>
      </c>
      <c r="J33" t="s">
        <v>52</v>
      </c>
      <c r="K33">
        <v>34906</v>
      </c>
      <c r="L33" t="s">
        <v>28</v>
      </c>
      <c r="M33">
        <v>5</v>
      </c>
      <c r="N33" t="s">
        <v>29</v>
      </c>
      <c r="O33" t="str">
        <f t="shared" si="0"/>
        <v>Adult</v>
      </c>
      <c r="P33">
        <f t="shared" si="1"/>
        <v>2025</v>
      </c>
      <c r="Q33" t="str">
        <f t="shared" si="2"/>
        <v>Jan</v>
      </c>
      <c r="R33">
        <f t="shared" si="3"/>
        <v>2024</v>
      </c>
      <c r="S33" t="str">
        <f t="shared" si="4"/>
        <v>Dec</v>
      </c>
    </row>
    <row r="34" spans="1:19" x14ac:dyDescent="0.3">
      <c r="A34" t="s">
        <v>161</v>
      </c>
      <c r="B34" t="s">
        <v>79</v>
      </c>
      <c r="C34" t="s">
        <v>21</v>
      </c>
      <c r="D34">
        <v>34</v>
      </c>
      <c r="E34" t="s">
        <v>33</v>
      </c>
      <c r="F34" t="s">
        <v>68</v>
      </c>
      <c r="G34" t="s">
        <v>88</v>
      </c>
      <c r="H34" s="3" t="s">
        <v>162</v>
      </c>
      <c r="I34" s="3" t="s">
        <v>149</v>
      </c>
      <c r="J34" t="s">
        <v>44</v>
      </c>
      <c r="K34">
        <v>16131</v>
      </c>
      <c r="L34" t="s">
        <v>28</v>
      </c>
      <c r="M34">
        <v>9</v>
      </c>
      <c r="N34" t="s">
        <v>46</v>
      </c>
      <c r="O34" t="str">
        <f t="shared" si="0"/>
        <v>Adult</v>
      </c>
      <c r="P34">
        <f t="shared" si="1"/>
        <v>2024</v>
      </c>
      <c r="Q34" t="str">
        <f t="shared" si="2"/>
        <v>Feb</v>
      </c>
      <c r="R34">
        <f t="shared" si="3"/>
        <v>2024</v>
      </c>
      <c r="S34" t="str">
        <f t="shared" si="4"/>
        <v>Feb</v>
      </c>
    </row>
    <row r="35" spans="1:19" x14ac:dyDescent="0.3">
      <c r="A35" t="s">
        <v>163</v>
      </c>
      <c r="B35" t="s">
        <v>73</v>
      </c>
      <c r="C35" t="s">
        <v>21</v>
      </c>
      <c r="D35">
        <v>19</v>
      </c>
      <c r="E35" t="s">
        <v>33</v>
      </c>
      <c r="F35" t="s">
        <v>80</v>
      </c>
      <c r="G35" t="s">
        <v>62</v>
      </c>
      <c r="H35" s="3" t="s">
        <v>164</v>
      </c>
      <c r="I35" s="3" t="s">
        <v>107</v>
      </c>
      <c r="J35" t="s">
        <v>71</v>
      </c>
      <c r="K35">
        <v>32975</v>
      </c>
      <c r="L35" t="s">
        <v>28</v>
      </c>
      <c r="M35">
        <v>5</v>
      </c>
      <c r="N35" t="s">
        <v>77</v>
      </c>
      <c r="O35" t="str">
        <f t="shared" si="0"/>
        <v>Adult</v>
      </c>
      <c r="P35">
        <f t="shared" si="1"/>
        <v>2024</v>
      </c>
      <c r="Q35" t="str">
        <f t="shared" si="2"/>
        <v>Jan</v>
      </c>
      <c r="R35">
        <f t="shared" si="3"/>
        <v>2024</v>
      </c>
      <c r="S35" t="str">
        <f t="shared" si="4"/>
        <v>Jan</v>
      </c>
    </row>
    <row r="36" spans="1:19" x14ac:dyDescent="0.3">
      <c r="A36" t="s">
        <v>165</v>
      </c>
      <c r="B36" t="s">
        <v>166</v>
      </c>
      <c r="C36" t="s">
        <v>21</v>
      </c>
      <c r="D36">
        <v>65</v>
      </c>
      <c r="E36" t="s">
        <v>74</v>
      </c>
      <c r="F36" t="s">
        <v>23</v>
      </c>
      <c r="G36" t="s">
        <v>41</v>
      </c>
      <c r="H36" s="3" t="s">
        <v>167</v>
      </c>
      <c r="I36" s="3" t="s">
        <v>168</v>
      </c>
      <c r="J36" t="s">
        <v>27</v>
      </c>
      <c r="K36">
        <v>41362</v>
      </c>
      <c r="L36" t="s">
        <v>45</v>
      </c>
      <c r="M36">
        <v>2</v>
      </c>
      <c r="N36" t="s">
        <v>46</v>
      </c>
      <c r="O36" t="str">
        <f t="shared" si="0"/>
        <v>Senior</v>
      </c>
      <c r="P36">
        <f t="shared" si="1"/>
        <v>2024</v>
      </c>
      <c r="Q36" t="str">
        <f t="shared" si="2"/>
        <v>Sep</v>
      </c>
      <c r="R36">
        <f t="shared" si="3"/>
        <v>2024</v>
      </c>
      <c r="S36" t="str">
        <f t="shared" si="4"/>
        <v>Sep</v>
      </c>
    </row>
    <row r="37" spans="1:19" x14ac:dyDescent="0.3">
      <c r="A37" t="s">
        <v>169</v>
      </c>
      <c r="B37" t="s">
        <v>20</v>
      </c>
      <c r="C37" t="s">
        <v>21</v>
      </c>
      <c r="D37">
        <v>3</v>
      </c>
      <c r="E37" t="s">
        <v>22</v>
      </c>
      <c r="F37" t="s">
        <v>23</v>
      </c>
      <c r="G37" t="s">
        <v>111</v>
      </c>
      <c r="H37" s="3" t="s">
        <v>170</v>
      </c>
      <c r="I37" s="3" t="s">
        <v>171</v>
      </c>
      <c r="J37" t="s">
        <v>27</v>
      </c>
      <c r="K37">
        <v>11936</v>
      </c>
      <c r="L37" t="s">
        <v>58</v>
      </c>
      <c r="M37">
        <v>5</v>
      </c>
      <c r="N37" t="s">
        <v>46</v>
      </c>
      <c r="O37" t="str">
        <f t="shared" si="0"/>
        <v>Child</v>
      </c>
      <c r="P37">
        <f t="shared" si="1"/>
        <v>2024</v>
      </c>
      <c r="Q37" t="str">
        <f t="shared" si="2"/>
        <v>Sep</v>
      </c>
      <c r="R37">
        <f t="shared" si="3"/>
        <v>2024</v>
      </c>
      <c r="S37" t="str">
        <f t="shared" si="4"/>
        <v>Sep</v>
      </c>
    </row>
    <row r="38" spans="1:19" x14ac:dyDescent="0.3">
      <c r="A38" t="s">
        <v>172</v>
      </c>
      <c r="B38" t="s">
        <v>173</v>
      </c>
      <c r="C38" t="s">
        <v>21</v>
      </c>
      <c r="D38">
        <v>37</v>
      </c>
      <c r="E38" t="s">
        <v>74</v>
      </c>
      <c r="F38" t="s">
        <v>80</v>
      </c>
      <c r="G38" t="s">
        <v>62</v>
      </c>
      <c r="H38" s="3" t="s">
        <v>174</v>
      </c>
      <c r="I38" s="3" t="s">
        <v>149</v>
      </c>
      <c r="J38" t="s">
        <v>52</v>
      </c>
      <c r="K38">
        <v>30942</v>
      </c>
      <c r="L38" t="s">
        <v>28</v>
      </c>
      <c r="M38">
        <v>5</v>
      </c>
      <c r="N38" t="s">
        <v>46</v>
      </c>
      <c r="O38" t="str">
        <f t="shared" si="0"/>
        <v>Adult</v>
      </c>
      <c r="P38">
        <f t="shared" si="1"/>
        <v>2024</v>
      </c>
      <c r="Q38" t="str">
        <f t="shared" si="2"/>
        <v>Feb</v>
      </c>
      <c r="R38">
        <f t="shared" si="3"/>
        <v>2024</v>
      </c>
      <c r="S38" t="str">
        <f t="shared" si="4"/>
        <v>Feb</v>
      </c>
    </row>
    <row r="39" spans="1:19" x14ac:dyDescent="0.3">
      <c r="A39" t="s">
        <v>175</v>
      </c>
      <c r="B39" t="s">
        <v>122</v>
      </c>
      <c r="C39" t="s">
        <v>21</v>
      </c>
      <c r="D39">
        <v>84</v>
      </c>
      <c r="E39" t="s">
        <v>39</v>
      </c>
      <c r="F39" t="s">
        <v>55</v>
      </c>
      <c r="G39" t="s">
        <v>41</v>
      </c>
      <c r="H39" s="3" t="s">
        <v>176</v>
      </c>
      <c r="I39" s="3" t="s">
        <v>177</v>
      </c>
      <c r="J39" t="s">
        <v>27</v>
      </c>
      <c r="K39">
        <v>19736</v>
      </c>
      <c r="L39" t="s">
        <v>58</v>
      </c>
      <c r="M39">
        <v>6</v>
      </c>
      <c r="N39" t="s">
        <v>46</v>
      </c>
      <c r="O39" t="str">
        <f t="shared" si="0"/>
        <v>Senior</v>
      </c>
      <c r="P39">
        <f t="shared" si="1"/>
        <v>2024</v>
      </c>
      <c r="Q39" t="str">
        <f t="shared" si="2"/>
        <v>Feb</v>
      </c>
      <c r="R39">
        <f t="shared" si="3"/>
        <v>2024</v>
      </c>
      <c r="S39" t="str">
        <f t="shared" si="4"/>
        <v>Feb</v>
      </c>
    </row>
    <row r="40" spans="1:19" x14ac:dyDescent="0.3">
      <c r="A40" t="s">
        <v>178</v>
      </c>
      <c r="B40" t="s">
        <v>179</v>
      </c>
      <c r="C40" t="s">
        <v>21</v>
      </c>
      <c r="D40">
        <v>43</v>
      </c>
      <c r="E40" t="s">
        <v>33</v>
      </c>
      <c r="F40" t="s">
        <v>23</v>
      </c>
      <c r="G40" t="s">
        <v>81</v>
      </c>
      <c r="H40" s="3" t="s">
        <v>180</v>
      </c>
      <c r="I40" s="3" t="s">
        <v>181</v>
      </c>
      <c r="J40" t="s">
        <v>27</v>
      </c>
      <c r="K40">
        <v>32660</v>
      </c>
      <c r="L40" t="s">
        <v>28</v>
      </c>
      <c r="M40">
        <v>7</v>
      </c>
      <c r="N40" t="s">
        <v>77</v>
      </c>
      <c r="O40" t="str">
        <f t="shared" si="0"/>
        <v>Adult</v>
      </c>
      <c r="P40">
        <f t="shared" si="1"/>
        <v>2024</v>
      </c>
      <c r="Q40" t="str">
        <f t="shared" si="2"/>
        <v>Jan</v>
      </c>
      <c r="R40">
        <f t="shared" si="3"/>
        <v>2024</v>
      </c>
      <c r="S40" t="str">
        <f t="shared" si="4"/>
        <v>Jan</v>
      </c>
    </row>
    <row r="41" spans="1:19" x14ac:dyDescent="0.3">
      <c r="A41" t="s">
        <v>182</v>
      </c>
      <c r="B41" t="s">
        <v>153</v>
      </c>
      <c r="C41" t="s">
        <v>32</v>
      </c>
      <c r="D41">
        <v>84</v>
      </c>
      <c r="E41" t="s">
        <v>74</v>
      </c>
      <c r="F41" t="s">
        <v>40</v>
      </c>
      <c r="G41" t="s">
        <v>81</v>
      </c>
      <c r="H41" s="3" t="s">
        <v>183</v>
      </c>
      <c r="I41" s="3" t="s">
        <v>35</v>
      </c>
      <c r="J41" t="s">
        <v>71</v>
      </c>
      <c r="K41">
        <v>73688</v>
      </c>
      <c r="L41" t="s">
        <v>28</v>
      </c>
      <c r="M41">
        <v>1</v>
      </c>
      <c r="N41" t="s">
        <v>46</v>
      </c>
      <c r="O41" t="str">
        <f t="shared" si="0"/>
        <v>Senior</v>
      </c>
      <c r="P41">
        <f t="shared" si="1"/>
        <v>2024</v>
      </c>
      <c r="Q41" t="str">
        <f t="shared" si="2"/>
        <v>Feb</v>
      </c>
      <c r="R41">
        <f t="shared" si="3"/>
        <v>2024</v>
      </c>
      <c r="S41" t="str">
        <f t="shared" si="4"/>
        <v>Feb</v>
      </c>
    </row>
    <row r="42" spans="1:19" x14ac:dyDescent="0.3">
      <c r="A42" t="s">
        <v>184</v>
      </c>
      <c r="B42" t="s">
        <v>38</v>
      </c>
      <c r="C42" t="s">
        <v>21</v>
      </c>
      <c r="D42">
        <v>61</v>
      </c>
      <c r="E42" t="s">
        <v>54</v>
      </c>
      <c r="F42" t="s">
        <v>55</v>
      </c>
      <c r="G42" t="s">
        <v>41</v>
      </c>
      <c r="H42" s="3" t="s">
        <v>185</v>
      </c>
      <c r="I42" s="3" t="s">
        <v>186</v>
      </c>
      <c r="J42" t="s">
        <v>71</v>
      </c>
      <c r="K42">
        <v>35918</v>
      </c>
      <c r="L42" t="s">
        <v>45</v>
      </c>
      <c r="M42">
        <v>5</v>
      </c>
      <c r="N42" t="s">
        <v>46</v>
      </c>
      <c r="O42" t="str">
        <f t="shared" si="0"/>
        <v>Senior</v>
      </c>
      <c r="P42">
        <f t="shared" si="1"/>
        <v>2024</v>
      </c>
      <c r="Q42" t="str">
        <f t="shared" si="2"/>
        <v>Mar</v>
      </c>
      <c r="R42">
        <f t="shared" si="3"/>
        <v>2024</v>
      </c>
      <c r="S42" t="str">
        <f t="shared" si="4"/>
        <v>Mar</v>
      </c>
    </row>
    <row r="43" spans="1:19" x14ac:dyDescent="0.3">
      <c r="A43" t="s">
        <v>187</v>
      </c>
      <c r="B43" t="s">
        <v>48</v>
      </c>
      <c r="C43" t="s">
        <v>32</v>
      </c>
      <c r="D43">
        <v>29</v>
      </c>
      <c r="E43" t="s">
        <v>33</v>
      </c>
      <c r="F43" t="s">
        <v>68</v>
      </c>
      <c r="G43" t="s">
        <v>111</v>
      </c>
      <c r="H43" s="3" t="s">
        <v>188</v>
      </c>
      <c r="I43" s="3" t="s">
        <v>180</v>
      </c>
      <c r="J43" t="s">
        <v>52</v>
      </c>
      <c r="K43">
        <v>92149</v>
      </c>
      <c r="L43" t="s">
        <v>28</v>
      </c>
      <c r="M43">
        <v>9</v>
      </c>
      <c r="N43" t="s">
        <v>77</v>
      </c>
      <c r="O43" t="str">
        <f t="shared" si="0"/>
        <v>Adult</v>
      </c>
      <c r="P43">
        <f t="shared" si="1"/>
        <v>2024</v>
      </c>
      <c r="Q43" t="str">
        <f t="shared" si="2"/>
        <v>Jan</v>
      </c>
      <c r="R43">
        <f t="shared" si="3"/>
        <v>2024</v>
      </c>
      <c r="S43" t="str">
        <f t="shared" si="4"/>
        <v>Jan</v>
      </c>
    </row>
    <row r="44" spans="1:19" x14ac:dyDescent="0.3">
      <c r="A44" t="s">
        <v>189</v>
      </c>
      <c r="B44" t="s">
        <v>122</v>
      </c>
      <c r="C44" t="s">
        <v>32</v>
      </c>
      <c r="D44">
        <v>32</v>
      </c>
      <c r="E44" t="s">
        <v>60</v>
      </c>
      <c r="F44" t="s">
        <v>80</v>
      </c>
      <c r="G44" t="s">
        <v>41</v>
      </c>
      <c r="H44" s="3" t="s">
        <v>190</v>
      </c>
      <c r="I44" s="3" t="s">
        <v>191</v>
      </c>
      <c r="J44" t="s">
        <v>44</v>
      </c>
      <c r="K44">
        <v>79231</v>
      </c>
      <c r="L44" t="s">
        <v>45</v>
      </c>
      <c r="M44">
        <v>6</v>
      </c>
      <c r="N44" t="s">
        <v>46</v>
      </c>
      <c r="O44" t="str">
        <f t="shared" si="0"/>
        <v>Adult</v>
      </c>
      <c r="P44">
        <f t="shared" si="1"/>
        <v>2024</v>
      </c>
      <c r="Q44" t="str">
        <f t="shared" si="2"/>
        <v>Aug</v>
      </c>
      <c r="R44">
        <f t="shared" si="3"/>
        <v>2024</v>
      </c>
      <c r="S44" t="str">
        <f t="shared" si="4"/>
        <v>Aug</v>
      </c>
    </row>
    <row r="45" spans="1:19" x14ac:dyDescent="0.3">
      <c r="A45" t="s">
        <v>192</v>
      </c>
      <c r="B45" t="s">
        <v>173</v>
      </c>
      <c r="C45" t="s">
        <v>21</v>
      </c>
      <c r="D45">
        <v>4</v>
      </c>
      <c r="E45" t="s">
        <v>39</v>
      </c>
      <c r="F45" t="s">
        <v>61</v>
      </c>
      <c r="G45" t="s">
        <v>88</v>
      </c>
      <c r="H45" s="3" t="s">
        <v>193</v>
      </c>
      <c r="I45" s="3" t="s">
        <v>177</v>
      </c>
      <c r="J45" t="s">
        <v>44</v>
      </c>
      <c r="K45">
        <v>15486</v>
      </c>
      <c r="L45" t="s">
        <v>28</v>
      </c>
      <c r="M45">
        <v>3</v>
      </c>
      <c r="N45" t="s">
        <v>29</v>
      </c>
      <c r="O45" t="str">
        <f t="shared" si="0"/>
        <v>Child</v>
      </c>
      <c r="P45">
        <f t="shared" si="1"/>
        <v>2024</v>
      </c>
      <c r="Q45" t="str">
        <f t="shared" si="2"/>
        <v>Feb</v>
      </c>
      <c r="R45">
        <f t="shared" si="3"/>
        <v>2024</v>
      </c>
      <c r="S45" t="str">
        <f t="shared" si="4"/>
        <v>Feb</v>
      </c>
    </row>
    <row r="46" spans="1:19" x14ac:dyDescent="0.3">
      <c r="A46" t="s">
        <v>194</v>
      </c>
      <c r="B46" t="s">
        <v>67</v>
      </c>
      <c r="C46" t="s">
        <v>32</v>
      </c>
      <c r="D46">
        <v>4</v>
      </c>
      <c r="E46" t="s">
        <v>39</v>
      </c>
      <c r="F46" t="s">
        <v>40</v>
      </c>
      <c r="G46" t="s">
        <v>88</v>
      </c>
      <c r="H46" s="3" t="s">
        <v>151</v>
      </c>
      <c r="I46" s="3" t="s">
        <v>195</v>
      </c>
      <c r="J46" t="s">
        <v>71</v>
      </c>
      <c r="K46">
        <v>78501</v>
      </c>
      <c r="L46" t="s">
        <v>28</v>
      </c>
      <c r="M46">
        <v>9</v>
      </c>
      <c r="N46" t="s">
        <v>77</v>
      </c>
      <c r="O46" t="str">
        <f t="shared" si="0"/>
        <v>Child</v>
      </c>
      <c r="P46">
        <f t="shared" si="1"/>
        <v>2024</v>
      </c>
      <c r="Q46" t="str">
        <f t="shared" si="2"/>
        <v>Aug</v>
      </c>
      <c r="R46">
        <f t="shared" si="3"/>
        <v>2024</v>
      </c>
      <c r="S46" t="str">
        <f t="shared" si="4"/>
        <v>Aug</v>
      </c>
    </row>
    <row r="47" spans="1:19" x14ac:dyDescent="0.3">
      <c r="A47" t="s">
        <v>196</v>
      </c>
      <c r="B47" t="s">
        <v>73</v>
      </c>
      <c r="C47" t="s">
        <v>21</v>
      </c>
      <c r="D47">
        <v>65</v>
      </c>
      <c r="E47" t="s">
        <v>74</v>
      </c>
      <c r="F47" t="s">
        <v>61</v>
      </c>
      <c r="G47" t="s">
        <v>24</v>
      </c>
      <c r="H47" s="3" t="s">
        <v>197</v>
      </c>
      <c r="I47" s="3" t="s">
        <v>198</v>
      </c>
      <c r="J47" t="s">
        <v>65</v>
      </c>
      <c r="K47">
        <v>6157</v>
      </c>
      <c r="L47" t="s">
        <v>58</v>
      </c>
      <c r="M47">
        <v>4</v>
      </c>
      <c r="N47" t="s">
        <v>46</v>
      </c>
      <c r="O47" t="str">
        <f t="shared" si="0"/>
        <v>Senior</v>
      </c>
      <c r="P47">
        <f t="shared" si="1"/>
        <v>2024</v>
      </c>
      <c r="Q47" t="str">
        <f t="shared" si="2"/>
        <v>Dec</v>
      </c>
      <c r="R47">
        <f t="shared" si="3"/>
        <v>2024</v>
      </c>
      <c r="S47" t="str">
        <f t="shared" si="4"/>
        <v>Dec</v>
      </c>
    </row>
    <row r="48" spans="1:19" x14ac:dyDescent="0.3">
      <c r="A48" t="s">
        <v>199</v>
      </c>
      <c r="B48" t="s">
        <v>67</v>
      </c>
      <c r="C48" t="s">
        <v>32</v>
      </c>
      <c r="D48">
        <v>23</v>
      </c>
      <c r="E48" t="s">
        <v>54</v>
      </c>
      <c r="F48" t="s">
        <v>61</v>
      </c>
      <c r="G48" t="s">
        <v>111</v>
      </c>
      <c r="H48" s="3" t="s">
        <v>200</v>
      </c>
      <c r="I48" s="3" t="s">
        <v>198</v>
      </c>
      <c r="J48" t="s">
        <v>52</v>
      </c>
      <c r="K48">
        <v>21836</v>
      </c>
      <c r="L48" t="s">
        <v>45</v>
      </c>
      <c r="M48">
        <v>7</v>
      </c>
      <c r="N48" t="s">
        <v>46</v>
      </c>
      <c r="O48" t="str">
        <f t="shared" si="0"/>
        <v>Adult</v>
      </c>
      <c r="P48">
        <f t="shared" si="1"/>
        <v>2024</v>
      </c>
      <c r="Q48" t="str">
        <f t="shared" si="2"/>
        <v>Dec</v>
      </c>
      <c r="R48">
        <f t="shared" si="3"/>
        <v>2024</v>
      </c>
      <c r="S48" t="str">
        <f t="shared" si="4"/>
        <v>Dec</v>
      </c>
    </row>
    <row r="49" spans="1:19" x14ac:dyDescent="0.3">
      <c r="A49" t="s">
        <v>201</v>
      </c>
      <c r="B49" t="s">
        <v>109</v>
      </c>
      <c r="C49" t="s">
        <v>21</v>
      </c>
      <c r="D49">
        <v>45</v>
      </c>
      <c r="E49" t="s">
        <v>54</v>
      </c>
      <c r="F49" t="s">
        <v>80</v>
      </c>
      <c r="G49" t="s">
        <v>41</v>
      </c>
      <c r="H49" s="3" t="s">
        <v>202</v>
      </c>
      <c r="I49" s="3" t="s">
        <v>203</v>
      </c>
      <c r="J49" t="s">
        <v>27</v>
      </c>
      <c r="K49">
        <v>59878</v>
      </c>
      <c r="L49" t="s">
        <v>45</v>
      </c>
      <c r="M49">
        <v>5</v>
      </c>
      <c r="N49" t="s">
        <v>29</v>
      </c>
      <c r="O49" t="str">
        <f t="shared" si="0"/>
        <v>Adult</v>
      </c>
      <c r="P49">
        <f t="shared" si="1"/>
        <v>2024</v>
      </c>
      <c r="Q49" t="str">
        <f t="shared" si="2"/>
        <v>Aug</v>
      </c>
      <c r="R49">
        <f t="shared" si="3"/>
        <v>2024</v>
      </c>
      <c r="S49" t="str">
        <f t="shared" si="4"/>
        <v>Aug</v>
      </c>
    </row>
    <row r="50" spans="1:19" x14ac:dyDescent="0.3">
      <c r="A50" t="s">
        <v>204</v>
      </c>
      <c r="B50" t="s">
        <v>140</v>
      </c>
      <c r="C50" t="s">
        <v>32</v>
      </c>
      <c r="D50">
        <v>26</v>
      </c>
      <c r="E50" t="s">
        <v>49</v>
      </c>
      <c r="F50" t="s">
        <v>68</v>
      </c>
      <c r="G50" t="s">
        <v>88</v>
      </c>
      <c r="H50" s="3" t="s">
        <v>99</v>
      </c>
      <c r="I50" s="3" t="s">
        <v>93</v>
      </c>
      <c r="J50" t="s">
        <v>44</v>
      </c>
      <c r="K50">
        <v>36204</v>
      </c>
      <c r="L50" t="s">
        <v>45</v>
      </c>
      <c r="M50">
        <v>2</v>
      </c>
      <c r="N50" t="s">
        <v>29</v>
      </c>
      <c r="O50" t="str">
        <f t="shared" si="0"/>
        <v>Adult</v>
      </c>
      <c r="P50">
        <f t="shared" si="1"/>
        <v>2024</v>
      </c>
      <c r="Q50" t="str">
        <f t="shared" si="2"/>
        <v>May</v>
      </c>
      <c r="R50">
        <f t="shared" si="3"/>
        <v>2024</v>
      </c>
      <c r="S50" t="str">
        <f t="shared" si="4"/>
        <v>May</v>
      </c>
    </row>
    <row r="51" spans="1:19" x14ac:dyDescent="0.3">
      <c r="A51" t="s">
        <v>205</v>
      </c>
      <c r="B51" t="s">
        <v>118</v>
      </c>
      <c r="C51" t="s">
        <v>21</v>
      </c>
      <c r="D51">
        <v>48</v>
      </c>
      <c r="E51" t="s">
        <v>74</v>
      </c>
      <c r="F51" t="s">
        <v>23</v>
      </c>
      <c r="G51" t="s">
        <v>81</v>
      </c>
      <c r="H51" s="3" t="s">
        <v>206</v>
      </c>
      <c r="I51" s="3" t="s">
        <v>148</v>
      </c>
      <c r="J51" t="s">
        <v>71</v>
      </c>
      <c r="K51">
        <v>82483</v>
      </c>
      <c r="L51" t="s">
        <v>28</v>
      </c>
      <c r="M51">
        <v>1</v>
      </c>
      <c r="N51" t="s">
        <v>46</v>
      </c>
      <c r="O51" t="str">
        <f t="shared" si="0"/>
        <v>Adult</v>
      </c>
      <c r="P51">
        <f t="shared" si="1"/>
        <v>2024</v>
      </c>
      <c r="Q51" t="str">
        <f t="shared" si="2"/>
        <v>Feb</v>
      </c>
      <c r="R51">
        <f t="shared" si="3"/>
        <v>2024</v>
      </c>
      <c r="S51" t="str">
        <f t="shared" si="4"/>
        <v>Feb</v>
      </c>
    </row>
    <row r="52" spans="1:19" x14ac:dyDescent="0.3">
      <c r="A52" t="s">
        <v>207</v>
      </c>
      <c r="B52" t="s">
        <v>140</v>
      </c>
      <c r="C52" t="s">
        <v>32</v>
      </c>
      <c r="D52">
        <v>9</v>
      </c>
      <c r="E52" t="s">
        <v>49</v>
      </c>
      <c r="F52" t="s">
        <v>110</v>
      </c>
      <c r="G52" t="s">
        <v>62</v>
      </c>
      <c r="H52" s="3" t="s">
        <v>208</v>
      </c>
      <c r="I52" s="3" t="s">
        <v>209</v>
      </c>
      <c r="J52" t="s">
        <v>71</v>
      </c>
      <c r="K52">
        <v>99839</v>
      </c>
      <c r="L52" t="s">
        <v>58</v>
      </c>
      <c r="M52">
        <v>5</v>
      </c>
      <c r="N52" t="s">
        <v>46</v>
      </c>
      <c r="O52" t="str">
        <f t="shared" si="0"/>
        <v>Child</v>
      </c>
      <c r="P52">
        <f t="shared" si="1"/>
        <v>2024</v>
      </c>
      <c r="Q52" t="str">
        <f t="shared" si="2"/>
        <v>Oct</v>
      </c>
      <c r="R52">
        <f t="shared" si="3"/>
        <v>2024</v>
      </c>
      <c r="S52" t="str">
        <f t="shared" si="4"/>
        <v>Oct</v>
      </c>
    </row>
    <row r="53" spans="1:19" x14ac:dyDescent="0.3">
      <c r="A53" t="s">
        <v>210</v>
      </c>
      <c r="B53" t="s">
        <v>166</v>
      </c>
      <c r="C53" t="s">
        <v>21</v>
      </c>
      <c r="D53">
        <v>39</v>
      </c>
      <c r="E53" t="s">
        <v>49</v>
      </c>
      <c r="F53" t="s">
        <v>23</v>
      </c>
      <c r="G53" t="s">
        <v>81</v>
      </c>
      <c r="H53" s="3" t="s">
        <v>211</v>
      </c>
      <c r="I53" s="3" t="s">
        <v>212</v>
      </c>
      <c r="J53" t="s">
        <v>71</v>
      </c>
      <c r="K53">
        <v>87637</v>
      </c>
      <c r="L53" t="s">
        <v>45</v>
      </c>
      <c r="M53">
        <v>8</v>
      </c>
      <c r="N53" t="s">
        <v>46</v>
      </c>
      <c r="O53" t="str">
        <f t="shared" si="0"/>
        <v>Adult</v>
      </c>
      <c r="P53">
        <f t="shared" si="1"/>
        <v>2024</v>
      </c>
      <c r="Q53" t="str">
        <f t="shared" si="2"/>
        <v>Dec</v>
      </c>
      <c r="R53">
        <f t="shared" si="3"/>
        <v>2024</v>
      </c>
      <c r="S53" t="str">
        <f t="shared" si="4"/>
        <v>Nov</v>
      </c>
    </row>
    <row r="54" spans="1:19" x14ac:dyDescent="0.3">
      <c r="A54" t="s">
        <v>213</v>
      </c>
      <c r="B54" t="s">
        <v>144</v>
      </c>
      <c r="C54" t="s">
        <v>21</v>
      </c>
      <c r="D54">
        <v>5</v>
      </c>
      <c r="E54" t="s">
        <v>39</v>
      </c>
      <c r="F54" t="s">
        <v>40</v>
      </c>
      <c r="G54" t="s">
        <v>41</v>
      </c>
      <c r="H54" s="3" t="s">
        <v>214</v>
      </c>
      <c r="I54" s="3" t="s">
        <v>215</v>
      </c>
      <c r="J54" t="s">
        <v>52</v>
      </c>
      <c r="K54">
        <v>52427</v>
      </c>
      <c r="L54" t="s">
        <v>58</v>
      </c>
      <c r="M54">
        <v>3</v>
      </c>
      <c r="N54" t="s">
        <v>46</v>
      </c>
      <c r="O54" t="str">
        <f t="shared" si="0"/>
        <v>Child</v>
      </c>
      <c r="P54">
        <f t="shared" si="1"/>
        <v>2024</v>
      </c>
      <c r="Q54" t="str">
        <f t="shared" si="2"/>
        <v>Jun</v>
      </c>
      <c r="R54">
        <f t="shared" si="3"/>
        <v>2024</v>
      </c>
      <c r="S54" t="str">
        <f t="shared" si="4"/>
        <v>Jun</v>
      </c>
    </row>
    <row r="55" spans="1:19" x14ac:dyDescent="0.3">
      <c r="A55" t="s">
        <v>216</v>
      </c>
      <c r="B55" t="s">
        <v>38</v>
      </c>
      <c r="C55" t="s">
        <v>21</v>
      </c>
      <c r="D55">
        <v>66</v>
      </c>
      <c r="E55" t="s">
        <v>74</v>
      </c>
      <c r="F55" t="s">
        <v>68</v>
      </c>
      <c r="G55" t="s">
        <v>62</v>
      </c>
      <c r="H55" s="3" t="s">
        <v>217</v>
      </c>
      <c r="I55" s="3" t="s">
        <v>174</v>
      </c>
      <c r="J55" t="s">
        <v>36</v>
      </c>
      <c r="K55">
        <v>98862</v>
      </c>
      <c r="L55" t="s">
        <v>58</v>
      </c>
      <c r="M55">
        <v>3</v>
      </c>
      <c r="N55" t="s">
        <v>46</v>
      </c>
      <c r="O55" t="str">
        <f t="shared" si="0"/>
        <v>Senior</v>
      </c>
      <c r="P55">
        <f t="shared" si="1"/>
        <v>2024</v>
      </c>
      <c r="Q55" t="str">
        <f t="shared" si="2"/>
        <v>Feb</v>
      </c>
      <c r="R55">
        <f t="shared" si="3"/>
        <v>2024</v>
      </c>
      <c r="S55" t="str">
        <f t="shared" si="4"/>
        <v>Feb</v>
      </c>
    </row>
    <row r="56" spans="1:19" x14ac:dyDescent="0.3">
      <c r="A56" t="s">
        <v>218</v>
      </c>
      <c r="B56" t="s">
        <v>20</v>
      </c>
      <c r="C56" t="s">
        <v>21</v>
      </c>
      <c r="D56">
        <v>67</v>
      </c>
      <c r="E56" t="s">
        <v>74</v>
      </c>
      <c r="F56" t="s">
        <v>61</v>
      </c>
      <c r="G56" t="s">
        <v>41</v>
      </c>
      <c r="H56" s="3" t="s">
        <v>219</v>
      </c>
      <c r="I56" s="3" t="s">
        <v>220</v>
      </c>
      <c r="J56" t="s">
        <v>71</v>
      </c>
      <c r="K56">
        <v>27366</v>
      </c>
      <c r="L56" t="s">
        <v>45</v>
      </c>
      <c r="M56">
        <v>6</v>
      </c>
      <c r="N56" t="s">
        <v>77</v>
      </c>
      <c r="O56" t="str">
        <f t="shared" si="0"/>
        <v>Senior</v>
      </c>
      <c r="P56">
        <f t="shared" si="1"/>
        <v>2024</v>
      </c>
      <c r="Q56" t="str">
        <f t="shared" si="2"/>
        <v>Dec</v>
      </c>
      <c r="R56">
        <f t="shared" si="3"/>
        <v>2024</v>
      </c>
      <c r="S56" t="str">
        <f t="shared" si="4"/>
        <v>Dec</v>
      </c>
    </row>
    <row r="57" spans="1:19" x14ac:dyDescent="0.3">
      <c r="A57" t="s">
        <v>221</v>
      </c>
      <c r="B57" t="s">
        <v>140</v>
      </c>
      <c r="C57" t="s">
        <v>32</v>
      </c>
      <c r="D57">
        <v>19</v>
      </c>
      <c r="E57" t="s">
        <v>49</v>
      </c>
      <c r="F57" t="s">
        <v>110</v>
      </c>
      <c r="G57" t="s">
        <v>81</v>
      </c>
      <c r="H57" s="3" t="s">
        <v>124</v>
      </c>
      <c r="I57" s="3" t="s">
        <v>222</v>
      </c>
      <c r="J57" t="s">
        <v>71</v>
      </c>
      <c r="K57">
        <v>55317</v>
      </c>
      <c r="L57" t="s">
        <v>45</v>
      </c>
      <c r="M57">
        <v>3</v>
      </c>
      <c r="N57" t="s">
        <v>29</v>
      </c>
      <c r="O57" t="str">
        <f t="shared" si="0"/>
        <v>Adult</v>
      </c>
      <c r="P57">
        <f t="shared" si="1"/>
        <v>2024</v>
      </c>
      <c r="Q57" t="str">
        <f t="shared" si="2"/>
        <v>Apr</v>
      </c>
      <c r="R57">
        <f t="shared" si="3"/>
        <v>2024</v>
      </c>
      <c r="S57" t="str">
        <f t="shared" si="4"/>
        <v>Apr</v>
      </c>
    </row>
    <row r="58" spans="1:19" x14ac:dyDescent="0.3">
      <c r="A58" t="s">
        <v>223</v>
      </c>
      <c r="B58" t="s">
        <v>166</v>
      </c>
      <c r="C58" t="s">
        <v>32</v>
      </c>
      <c r="D58">
        <v>6</v>
      </c>
      <c r="E58" t="s">
        <v>60</v>
      </c>
      <c r="F58" t="s">
        <v>68</v>
      </c>
      <c r="G58" t="s">
        <v>41</v>
      </c>
      <c r="H58" s="3" t="s">
        <v>208</v>
      </c>
      <c r="I58" s="3" t="s">
        <v>224</v>
      </c>
      <c r="J58" t="s">
        <v>103</v>
      </c>
      <c r="K58">
        <v>58730</v>
      </c>
      <c r="L58" t="s">
        <v>58</v>
      </c>
      <c r="M58">
        <v>1</v>
      </c>
      <c r="N58" t="s">
        <v>77</v>
      </c>
      <c r="O58" t="str">
        <f t="shared" si="0"/>
        <v>Child</v>
      </c>
      <c r="P58">
        <f t="shared" si="1"/>
        <v>2024</v>
      </c>
      <c r="Q58" t="str">
        <f t="shared" si="2"/>
        <v>Oct</v>
      </c>
      <c r="R58">
        <f t="shared" si="3"/>
        <v>2024</v>
      </c>
      <c r="S58" t="str">
        <f t="shared" si="4"/>
        <v>Oct</v>
      </c>
    </row>
    <row r="59" spans="1:19" x14ac:dyDescent="0.3">
      <c r="A59" t="s">
        <v>225</v>
      </c>
      <c r="B59" t="s">
        <v>20</v>
      </c>
      <c r="C59" t="s">
        <v>32</v>
      </c>
      <c r="D59">
        <v>65</v>
      </c>
      <c r="E59" t="s">
        <v>54</v>
      </c>
      <c r="F59" t="s">
        <v>80</v>
      </c>
      <c r="G59" t="s">
        <v>88</v>
      </c>
      <c r="H59" s="3" t="s">
        <v>226</v>
      </c>
      <c r="I59" s="3" t="s">
        <v>208</v>
      </c>
      <c r="J59" t="s">
        <v>36</v>
      </c>
      <c r="K59">
        <v>8181</v>
      </c>
      <c r="L59" t="s">
        <v>58</v>
      </c>
      <c r="M59">
        <v>9</v>
      </c>
      <c r="N59" t="s">
        <v>46</v>
      </c>
      <c r="O59" t="str">
        <f t="shared" si="0"/>
        <v>Senior</v>
      </c>
      <c r="P59">
        <f t="shared" si="1"/>
        <v>2024</v>
      </c>
      <c r="Q59" t="str">
        <f t="shared" si="2"/>
        <v>Oct</v>
      </c>
      <c r="R59">
        <f t="shared" si="3"/>
        <v>2024</v>
      </c>
      <c r="S59" t="str">
        <f t="shared" si="4"/>
        <v>Sep</v>
      </c>
    </row>
    <row r="60" spans="1:19" x14ac:dyDescent="0.3">
      <c r="A60" t="s">
        <v>227</v>
      </c>
      <c r="B60" t="s">
        <v>48</v>
      </c>
      <c r="C60" t="s">
        <v>21</v>
      </c>
      <c r="D60">
        <v>25</v>
      </c>
      <c r="E60" t="s">
        <v>74</v>
      </c>
      <c r="F60" t="s">
        <v>68</v>
      </c>
      <c r="G60" t="s">
        <v>88</v>
      </c>
      <c r="H60" s="3" t="s">
        <v>228</v>
      </c>
      <c r="I60" s="3" t="s">
        <v>229</v>
      </c>
      <c r="J60" t="s">
        <v>27</v>
      </c>
      <c r="K60">
        <v>43081</v>
      </c>
      <c r="L60" t="s">
        <v>58</v>
      </c>
      <c r="M60">
        <v>4</v>
      </c>
      <c r="N60" t="s">
        <v>29</v>
      </c>
      <c r="O60" t="str">
        <f t="shared" si="0"/>
        <v>Adult</v>
      </c>
      <c r="P60">
        <f t="shared" si="1"/>
        <v>2024</v>
      </c>
      <c r="Q60" t="str">
        <f t="shared" si="2"/>
        <v>Jun</v>
      </c>
      <c r="R60">
        <f t="shared" si="3"/>
        <v>2024</v>
      </c>
      <c r="S60" t="str">
        <f t="shared" si="4"/>
        <v>Jun</v>
      </c>
    </row>
    <row r="61" spans="1:19" x14ac:dyDescent="0.3">
      <c r="A61" t="s">
        <v>230</v>
      </c>
      <c r="B61" t="s">
        <v>73</v>
      </c>
      <c r="C61" t="s">
        <v>21</v>
      </c>
      <c r="D61">
        <v>16</v>
      </c>
      <c r="E61" t="s">
        <v>49</v>
      </c>
      <c r="F61" t="s">
        <v>40</v>
      </c>
      <c r="G61" t="s">
        <v>81</v>
      </c>
      <c r="H61" s="3" t="s">
        <v>231</v>
      </c>
      <c r="I61" s="3" t="s">
        <v>183</v>
      </c>
      <c r="J61" t="s">
        <v>71</v>
      </c>
      <c r="K61">
        <v>60846</v>
      </c>
      <c r="L61" t="s">
        <v>45</v>
      </c>
      <c r="M61">
        <v>7</v>
      </c>
      <c r="N61" t="s">
        <v>46</v>
      </c>
      <c r="O61" t="str">
        <f t="shared" si="0"/>
        <v>Child</v>
      </c>
      <c r="P61">
        <f t="shared" si="1"/>
        <v>2024</v>
      </c>
      <c r="Q61" t="str">
        <f t="shared" si="2"/>
        <v>Feb</v>
      </c>
      <c r="R61">
        <f t="shared" si="3"/>
        <v>2024</v>
      </c>
      <c r="S61" t="str">
        <f t="shared" si="4"/>
        <v>Feb</v>
      </c>
    </row>
    <row r="62" spans="1:19" x14ac:dyDescent="0.3">
      <c r="A62" t="s">
        <v>232</v>
      </c>
      <c r="B62" t="s">
        <v>140</v>
      </c>
      <c r="C62" t="s">
        <v>32</v>
      </c>
      <c r="D62">
        <v>11</v>
      </c>
      <c r="E62" t="s">
        <v>22</v>
      </c>
      <c r="F62" t="s">
        <v>80</v>
      </c>
      <c r="G62" t="s">
        <v>62</v>
      </c>
      <c r="H62" s="3" t="s">
        <v>233</v>
      </c>
      <c r="I62" s="3" t="s">
        <v>234</v>
      </c>
      <c r="J62" t="s">
        <v>44</v>
      </c>
      <c r="K62">
        <v>72261</v>
      </c>
      <c r="L62" t="s">
        <v>45</v>
      </c>
      <c r="M62">
        <v>2</v>
      </c>
      <c r="N62" t="s">
        <v>46</v>
      </c>
      <c r="O62" t="str">
        <f t="shared" si="0"/>
        <v>Child</v>
      </c>
      <c r="P62">
        <f t="shared" si="1"/>
        <v>2024</v>
      </c>
      <c r="Q62" t="str">
        <f t="shared" si="2"/>
        <v>May</v>
      </c>
      <c r="R62">
        <f t="shared" si="3"/>
        <v>2024</v>
      </c>
      <c r="S62" t="str">
        <f t="shared" si="4"/>
        <v>May</v>
      </c>
    </row>
    <row r="63" spans="1:19" x14ac:dyDescent="0.3">
      <c r="A63" t="s">
        <v>235</v>
      </c>
      <c r="B63" t="s">
        <v>38</v>
      </c>
      <c r="C63" t="s">
        <v>32</v>
      </c>
      <c r="D63">
        <v>36</v>
      </c>
      <c r="E63" t="s">
        <v>74</v>
      </c>
      <c r="F63" t="s">
        <v>23</v>
      </c>
      <c r="G63" t="s">
        <v>41</v>
      </c>
      <c r="H63" s="3" t="s">
        <v>236</v>
      </c>
      <c r="I63" s="3" t="s">
        <v>237</v>
      </c>
      <c r="J63" t="s">
        <v>65</v>
      </c>
      <c r="K63">
        <v>43261</v>
      </c>
      <c r="L63" t="s">
        <v>58</v>
      </c>
      <c r="M63">
        <v>1</v>
      </c>
      <c r="N63" t="s">
        <v>29</v>
      </c>
      <c r="O63" t="str">
        <f t="shared" si="0"/>
        <v>Adult</v>
      </c>
      <c r="P63">
        <f t="shared" si="1"/>
        <v>2024</v>
      </c>
      <c r="Q63" t="str">
        <f t="shared" si="2"/>
        <v>Mar</v>
      </c>
      <c r="R63">
        <f t="shared" si="3"/>
        <v>2024</v>
      </c>
      <c r="S63" t="str">
        <f t="shared" si="4"/>
        <v>Mar</v>
      </c>
    </row>
    <row r="64" spans="1:19" x14ac:dyDescent="0.3">
      <c r="A64" t="s">
        <v>238</v>
      </c>
      <c r="B64" t="s">
        <v>67</v>
      </c>
      <c r="C64" t="s">
        <v>21</v>
      </c>
      <c r="D64">
        <v>61</v>
      </c>
      <c r="E64" t="s">
        <v>22</v>
      </c>
      <c r="F64" t="s">
        <v>55</v>
      </c>
      <c r="G64" t="s">
        <v>88</v>
      </c>
      <c r="H64" s="3" t="s">
        <v>239</v>
      </c>
      <c r="I64" s="3" t="s">
        <v>220</v>
      </c>
      <c r="J64" t="s">
        <v>27</v>
      </c>
      <c r="K64">
        <v>28348</v>
      </c>
      <c r="L64" t="s">
        <v>28</v>
      </c>
      <c r="M64">
        <v>9</v>
      </c>
      <c r="N64" t="s">
        <v>46</v>
      </c>
      <c r="O64" t="str">
        <f t="shared" si="0"/>
        <v>Senior</v>
      </c>
      <c r="P64">
        <f t="shared" si="1"/>
        <v>2024</v>
      </c>
      <c r="Q64" t="str">
        <f t="shared" si="2"/>
        <v>Dec</v>
      </c>
      <c r="R64">
        <f t="shared" si="3"/>
        <v>2024</v>
      </c>
      <c r="S64" t="str">
        <f t="shared" si="4"/>
        <v>Dec</v>
      </c>
    </row>
    <row r="65" spans="1:19" x14ac:dyDescent="0.3">
      <c r="A65" t="s">
        <v>240</v>
      </c>
      <c r="B65" t="s">
        <v>20</v>
      </c>
      <c r="C65" t="s">
        <v>21</v>
      </c>
      <c r="D65">
        <v>78</v>
      </c>
      <c r="E65" t="s">
        <v>33</v>
      </c>
      <c r="F65" t="s">
        <v>23</v>
      </c>
      <c r="G65" t="s">
        <v>81</v>
      </c>
      <c r="H65" s="3" t="s">
        <v>241</v>
      </c>
      <c r="I65" s="3" t="s">
        <v>242</v>
      </c>
      <c r="J65" t="s">
        <v>52</v>
      </c>
      <c r="K65">
        <v>76271</v>
      </c>
      <c r="L65" t="s">
        <v>58</v>
      </c>
      <c r="M65">
        <v>2</v>
      </c>
      <c r="N65" t="s">
        <v>77</v>
      </c>
      <c r="O65" t="str">
        <f t="shared" si="0"/>
        <v>Senior</v>
      </c>
      <c r="P65">
        <f t="shared" si="1"/>
        <v>2024</v>
      </c>
      <c r="Q65" t="str">
        <f t="shared" si="2"/>
        <v>Jan</v>
      </c>
      <c r="R65">
        <f t="shared" si="3"/>
        <v>2024</v>
      </c>
      <c r="S65" t="str">
        <f t="shared" si="4"/>
        <v>Jan</v>
      </c>
    </row>
    <row r="66" spans="1:19" x14ac:dyDescent="0.3">
      <c r="A66" t="s">
        <v>243</v>
      </c>
      <c r="B66" t="s">
        <v>101</v>
      </c>
      <c r="C66" t="s">
        <v>32</v>
      </c>
      <c r="D66">
        <v>15</v>
      </c>
      <c r="E66" t="s">
        <v>74</v>
      </c>
      <c r="F66" t="s">
        <v>23</v>
      </c>
      <c r="G66" t="s">
        <v>81</v>
      </c>
      <c r="H66" s="3" t="s">
        <v>90</v>
      </c>
      <c r="I66" s="3" t="s">
        <v>244</v>
      </c>
      <c r="J66" t="s">
        <v>52</v>
      </c>
      <c r="K66">
        <v>79870</v>
      </c>
      <c r="L66" t="s">
        <v>28</v>
      </c>
      <c r="M66">
        <v>1</v>
      </c>
      <c r="N66" t="s">
        <v>29</v>
      </c>
      <c r="O66" t="str">
        <f t="shared" si="0"/>
        <v>Child</v>
      </c>
      <c r="P66">
        <f t="shared" si="1"/>
        <v>2024</v>
      </c>
      <c r="Q66" t="str">
        <f t="shared" si="2"/>
        <v>Sep</v>
      </c>
      <c r="R66">
        <f t="shared" si="3"/>
        <v>2024</v>
      </c>
      <c r="S66" t="str">
        <f t="shared" si="4"/>
        <v>Sep</v>
      </c>
    </row>
    <row r="67" spans="1:19" x14ac:dyDescent="0.3">
      <c r="A67" t="s">
        <v>245</v>
      </c>
      <c r="B67" t="s">
        <v>20</v>
      </c>
      <c r="C67" t="s">
        <v>21</v>
      </c>
      <c r="D67">
        <v>16</v>
      </c>
      <c r="E67" t="s">
        <v>39</v>
      </c>
      <c r="F67" t="s">
        <v>23</v>
      </c>
      <c r="G67" t="s">
        <v>88</v>
      </c>
      <c r="H67" s="3" t="s">
        <v>148</v>
      </c>
      <c r="I67" s="3" t="s">
        <v>236</v>
      </c>
      <c r="J67" t="s">
        <v>36</v>
      </c>
      <c r="K67">
        <v>11177</v>
      </c>
      <c r="L67" t="s">
        <v>28</v>
      </c>
      <c r="M67">
        <v>4</v>
      </c>
      <c r="N67" t="s">
        <v>46</v>
      </c>
      <c r="O67" t="str">
        <f t="shared" ref="O67:O130" si="6">IF(D67&lt;18,"Child",IF(D67&lt;=60,"Adult","Senior"))</f>
        <v>Child</v>
      </c>
      <c r="P67">
        <f t="shared" ref="P67:P130" si="7">YEAR(I67)</f>
        <v>2024</v>
      </c>
      <c r="Q67" t="str">
        <f t="shared" ref="Q67:Q130" si="8">TEXT(I67,"mmm")</f>
        <v>Mar</v>
      </c>
      <c r="R67">
        <f t="shared" ref="R67:R130" si="9">YEAR(H67)</f>
        <v>2024</v>
      </c>
      <c r="S67" t="str">
        <f t="shared" ref="S67:S130" si="10">TEXT(H67,"mmm")</f>
        <v>Feb</v>
      </c>
    </row>
    <row r="68" spans="1:19" x14ac:dyDescent="0.3">
      <c r="A68" t="s">
        <v>246</v>
      </c>
      <c r="B68" t="s">
        <v>48</v>
      </c>
      <c r="C68" t="s">
        <v>21</v>
      </c>
      <c r="D68">
        <v>59</v>
      </c>
      <c r="E68" t="s">
        <v>39</v>
      </c>
      <c r="F68" t="s">
        <v>40</v>
      </c>
      <c r="G68" t="s">
        <v>24</v>
      </c>
      <c r="H68" s="3" t="s">
        <v>247</v>
      </c>
      <c r="I68" s="3" t="s">
        <v>248</v>
      </c>
      <c r="J68" t="s">
        <v>65</v>
      </c>
      <c r="K68">
        <v>52186</v>
      </c>
      <c r="L68" t="s">
        <v>45</v>
      </c>
      <c r="M68">
        <v>4</v>
      </c>
      <c r="N68" t="s">
        <v>77</v>
      </c>
      <c r="O68" t="str">
        <f t="shared" si="6"/>
        <v>Adult</v>
      </c>
      <c r="P68">
        <f t="shared" si="7"/>
        <v>2024</v>
      </c>
      <c r="Q68" t="str">
        <f t="shared" si="8"/>
        <v>Dec</v>
      </c>
      <c r="R68">
        <f t="shared" si="9"/>
        <v>2024</v>
      </c>
      <c r="S68" t="str">
        <f t="shared" si="10"/>
        <v>Dec</v>
      </c>
    </row>
    <row r="69" spans="1:19" x14ac:dyDescent="0.3">
      <c r="A69" t="s">
        <v>249</v>
      </c>
      <c r="B69" t="s">
        <v>144</v>
      </c>
      <c r="C69" t="s">
        <v>21</v>
      </c>
      <c r="D69">
        <v>68</v>
      </c>
      <c r="E69" t="s">
        <v>49</v>
      </c>
      <c r="F69" t="s">
        <v>61</v>
      </c>
      <c r="G69" t="s">
        <v>24</v>
      </c>
      <c r="H69" s="3" t="s">
        <v>209</v>
      </c>
      <c r="I69" s="3" t="s">
        <v>250</v>
      </c>
      <c r="J69" t="s">
        <v>71</v>
      </c>
      <c r="K69">
        <v>14810</v>
      </c>
      <c r="L69" t="s">
        <v>45</v>
      </c>
      <c r="M69">
        <v>1</v>
      </c>
      <c r="N69" t="s">
        <v>29</v>
      </c>
      <c r="O69" t="str">
        <f t="shared" si="6"/>
        <v>Senior</v>
      </c>
      <c r="P69">
        <f t="shared" si="7"/>
        <v>2024</v>
      </c>
      <c r="Q69" t="str">
        <f t="shared" si="8"/>
        <v>Oct</v>
      </c>
      <c r="R69">
        <f t="shared" si="9"/>
        <v>2024</v>
      </c>
      <c r="S69" t="str">
        <f t="shared" si="10"/>
        <v>Oct</v>
      </c>
    </row>
    <row r="70" spans="1:19" x14ac:dyDescent="0.3">
      <c r="A70" t="s">
        <v>251</v>
      </c>
      <c r="B70" t="s">
        <v>105</v>
      </c>
      <c r="C70" t="s">
        <v>21</v>
      </c>
      <c r="D70">
        <v>10</v>
      </c>
      <c r="E70" t="s">
        <v>60</v>
      </c>
      <c r="F70" t="s">
        <v>110</v>
      </c>
      <c r="G70" t="s">
        <v>81</v>
      </c>
      <c r="H70" s="3" t="s">
        <v>252</v>
      </c>
      <c r="I70" s="3" t="s">
        <v>253</v>
      </c>
      <c r="J70" t="s">
        <v>36</v>
      </c>
      <c r="K70">
        <v>24042</v>
      </c>
      <c r="L70" t="s">
        <v>45</v>
      </c>
      <c r="M70">
        <v>2</v>
      </c>
      <c r="N70" t="s">
        <v>29</v>
      </c>
      <c r="O70" t="str">
        <f t="shared" si="6"/>
        <v>Child</v>
      </c>
      <c r="P70">
        <f t="shared" si="7"/>
        <v>2024</v>
      </c>
      <c r="Q70" t="str">
        <f t="shared" si="8"/>
        <v>Sep</v>
      </c>
      <c r="R70">
        <f t="shared" si="9"/>
        <v>2024</v>
      </c>
      <c r="S70" t="str">
        <f t="shared" si="10"/>
        <v>Sep</v>
      </c>
    </row>
    <row r="71" spans="1:19" x14ac:dyDescent="0.3">
      <c r="A71" t="s">
        <v>254</v>
      </c>
      <c r="B71" t="s">
        <v>255</v>
      </c>
      <c r="C71" t="s">
        <v>32</v>
      </c>
      <c r="D71">
        <v>69</v>
      </c>
      <c r="E71" t="s">
        <v>22</v>
      </c>
      <c r="F71" t="s">
        <v>61</v>
      </c>
      <c r="G71" t="s">
        <v>62</v>
      </c>
      <c r="H71" s="3" t="s">
        <v>217</v>
      </c>
      <c r="I71" s="3" t="s">
        <v>236</v>
      </c>
      <c r="J71" t="s">
        <v>52</v>
      </c>
      <c r="K71">
        <v>94927</v>
      </c>
      <c r="L71" t="s">
        <v>45</v>
      </c>
      <c r="M71">
        <v>10</v>
      </c>
      <c r="N71" t="s">
        <v>46</v>
      </c>
      <c r="O71" t="str">
        <f t="shared" si="6"/>
        <v>Senior</v>
      </c>
      <c r="P71">
        <f t="shared" si="7"/>
        <v>2024</v>
      </c>
      <c r="Q71" t="str">
        <f t="shared" si="8"/>
        <v>Mar</v>
      </c>
      <c r="R71">
        <f t="shared" si="9"/>
        <v>2024</v>
      </c>
      <c r="S71" t="str">
        <f t="shared" si="10"/>
        <v>Feb</v>
      </c>
    </row>
    <row r="72" spans="1:19" x14ac:dyDescent="0.3">
      <c r="A72" t="s">
        <v>256</v>
      </c>
      <c r="B72" t="s">
        <v>20</v>
      </c>
      <c r="C72" t="s">
        <v>21</v>
      </c>
      <c r="D72">
        <v>44</v>
      </c>
      <c r="E72" t="s">
        <v>39</v>
      </c>
      <c r="F72" t="s">
        <v>110</v>
      </c>
      <c r="G72" t="s">
        <v>62</v>
      </c>
      <c r="H72" s="3" t="s">
        <v>257</v>
      </c>
      <c r="I72" s="3" t="s">
        <v>239</v>
      </c>
      <c r="J72" t="s">
        <v>71</v>
      </c>
      <c r="K72">
        <v>70620</v>
      </c>
      <c r="L72" t="s">
        <v>45</v>
      </c>
      <c r="M72">
        <v>5</v>
      </c>
      <c r="N72" t="s">
        <v>77</v>
      </c>
      <c r="O72" t="str">
        <f t="shared" si="6"/>
        <v>Adult</v>
      </c>
      <c r="P72">
        <f t="shared" si="7"/>
        <v>2024</v>
      </c>
      <c r="Q72" t="str">
        <f t="shared" si="8"/>
        <v>Dec</v>
      </c>
      <c r="R72">
        <f t="shared" si="9"/>
        <v>2024</v>
      </c>
      <c r="S72" t="str">
        <f t="shared" si="10"/>
        <v>Nov</v>
      </c>
    </row>
    <row r="73" spans="1:19" x14ac:dyDescent="0.3">
      <c r="A73" t="s">
        <v>258</v>
      </c>
      <c r="B73" t="s">
        <v>20</v>
      </c>
      <c r="C73" t="s">
        <v>21</v>
      </c>
      <c r="D73">
        <v>43</v>
      </c>
      <c r="E73" t="s">
        <v>39</v>
      </c>
      <c r="F73" t="s">
        <v>80</v>
      </c>
      <c r="G73" t="s">
        <v>62</v>
      </c>
      <c r="H73" s="3" t="s">
        <v>259</v>
      </c>
      <c r="I73" s="3" t="s">
        <v>260</v>
      </c>
      <c r="J73" t="s">
        <v>52</v>
      </c>
      <c r="K73">
        <v>72666</v>
      </c>
      <c r="L73" t="s">
        <v>45</v>
      </c>
      <c r="M73">
        <v>10</v>
      </c>
      <c r="N73" t="s">
        <v>77</v>
      </c>
      <c r="O73" t="str">
        <f t="shared" si="6"/>
        <v>Adult</v>
      </c>
      <c r="P73">
        <f t="shared" si="7"/>
        <v>2024</v>
      </c>
      <c r="Q73" t="str">
        <f t="shared" si="8"/>
        <v>May</v>
      </c>
      <c r="R73">
        <f t="shared" si="9"/>
        <v>2024</v>
      </c>
      <c r="S73" t="str">
        <f t="shared" si="10"/>
        <v>May</v>
      </c>
    </row>
    <row r="74" spans="1:19" x14ac:dyDescent="0.3">
      <c r="A74" t="s">
        <v>261</v>
      </c>
      <c r="B74" t="s">
        <v>255</v>
      </c>
      <c r="C74" t="s">
        <v>21</v>
      </c>
      <c r="D74">
        <v>14</v>
      </c>
      <c r="E74" t="s">
        <v>39</v>
      </c>
      <c r="F74" t="s">
        <v>55</v>
      </c>
      <c r="G74" t="s">
        <v>62</v>
      </c>
      <c r="H74" s="3" t="s">
        <v>262</v>
      </c>
      <c r="I74" s="3" t="s">
        <v>263</v>
      </c>
      <c r="J74" t="s">
        <v>36</v>
      </c>
      <c r="K74">
        <v>55633</v>
      </c>
      <c r="L74" t="s">
        <v>28</v>
      </c>
      <c r="M74">
        <v>5</v>
      </c>
      <c r="N74" t="s">
        <v>46</v>
      </c>
      <c r="O74" t="str">
        <f t="shared" si="6"/>
        <v>Child</v>
      </c>
      <c r="P74">
        <f t="shared" si="7"/>
        <v>2024</v>
      </c>
      <c r="Q74" t="str">
        <f t="shared" si="8"/>
        <v>May</v>
      </c>
      <c r="R74">
        <f t="shared" si="9"/>
        <v>2024</v>
      </c>
      <c r="S74" t="str">
        <f t="shared" si="10"/>
        <v>May</v>
      </c>
    </row>
    <row r="75" spans="1:19" x14ac:dyDescent="0.3">
      <c r="A75" t="s">
        <v>264</v>
      </c>
      <c r="B75" t="s">
        <v>173</v>
      </c>
      <c r="C75" t="s">
        <v>32</v>
      </c>
      <c r="D75">
        <v>84</v>
      </c>
      <c r="E75" t="s">
        <v>60</v>
      </c>
      <c r="F75" t="s">
        <v>80</v>
      </c>
      <c r="G75" t="s">
        <v>41</v>
      </c>
      <c r="H75" s="3" t="s">
        <v>265</v>
      </c>
      <c r="I75" s="3" t="s">
        <v>120</v>
      </c>
      <c r="J75" t="s">
        <v>71</v>
      </c>
      <c r="K75">
        <v>85557</v>
      </c>
      <c r="L75" t="s">
        <v>58</v>
      </c>
      <c r="M75">
        <v>8</v>
      </c>
      <c r="N75" t="s">
        <v>29</v>
      </c>
      <c r="O75" t="str">
        <f t="shared" si="6"/>
        <v>Senior</v>
      </c>
      <c r="P75">
        <f t="shared" si="7"/>
        <v>2024</v>
      </c>
      <c r="Q75" t="str">
        <f t="shared" si="8"/>
        <v>Oct</v>
      </c>
      <c r="R75">
        <f t="shared" si="9"/>
        <v>2024</v>
      </c>
      <c r="S75" t="str">
        <f t="shared" si="10"/>
        <v>Sep</v>
      </c>
    </row>
    <row r="76" spans="1:19" x14ac:dyDescent="0.3">
      <c r="A76" t="s">
        <v>266</v>
      </c>
      <c r="B76" t="s">
        <v>118</v>
      </c>
      <c r="C76" t="s">
        <v>21</v>
      </c>
      <c r="D76">
        <v>63</v>
      </c>
      <c r="E76" t="s">
        <v>49</v>
      </c>
      <c r="F76" t="s">
        <v>40</v>
      </c>
      <c r="G76" t="s">
        <v>111</v>
      </c>
      <c r="H76" s="3" t="s">
        <v>85</v>
      </c>
      <c r="I76" s="3" t="s">
        <v>267</v>
      </c>
      <c r="J76" t="s">
        <v>103</v>
      </c>
      <c r="K76">
        <v>23150</v>
      </c>
      <c r="L76" t="s">
        <v>45</v>
      </c>
      <c r="M76">
        <v>10</v>
      </c>
      <c r="N76" t="s">
        <v>29</v>
      </c>
      <c r="O76" t="str">
        <f t="shared" si="6"/>
        <v>Senior</v>
      </c>
      <c r="P76">
        <f t="shared" si="7"/>
        <v>2024</v>
      </c>
      <c r="Q76" t="str">
        <f t="shared" si="8"/>
        <v>Jan</v>
      </c>
      <c r="R76">
        <f t="shared" si="9"/>
        <v>2024</v>
      </c>
      <c r="S76" t="str">
        <f t="shared" si="10"/>
        <v>Jan</v>
      </c>
    </row>
    <row r="77" spans="1:19" x14ac:dyDescent="0.3">
      <c r="A77" t="s">
        <v>268</v>
      </c>
      <c r="B77" t="s">
        <v>179</v>
      </c>
      <c r="C77" t="s">
        <v>21</v>
      </c>
      <c r="D77">
        <v>61</v>
      </c>
      <c r="E77" t="s">
        <v>22</v>
      </c>
      <c r="F77" t="s">
        <v>110</v>
      </c>
      <c r="G77" t="s">
        <v>88</v>
      </c>
      <c r="H77" s="3" t="s">
        <v>269</v>
      </c>
      <c r="I77" s="3" t="s">
        <v>270</v>
      </c>
      <c r="J77" t="s">
        <v>71</v>
      </c>
      <c r="K77">
        <v>21159</v>
      </c>
      <c r="L77" t="s">
        <v>45</v>
      </c>
      <c r="M77">
        <v>8</v>
      </c>
      <c r="N77" t="s">
        <v>29</v>
      </c>
      <c r="O77" t="str">
        <f t="shared" si="6"/>
        <v>Senior</v>
      </c>
      <c r="P77">
        <f t="shared" si="7"/>
        <v>2024</v>
      </c>
      <c r="Q77" t="str">
        <f t="shared" si="8"/>
        <v>Jul</v>
      </c>
      <c r="R77">
        <f t="shared" si="9"/>
        <v>2024</v>
      </c>
      <c r="S77" t="str">
        <f t="shared" si="10"/>
        <v>Jul</v>
      </c>
    </row>
    <row r="78" spans="1:19" x14ac:dyDescent="0.3">
      <c r="A78" t="s">
        <v>271</v>
      </c>
      <c r="B78" t="s">
        <v>48</v>
      </c>
      <c r="C78" t="s">
        <v>21</v>
      </c>
      <c r="D78">
        <v>52</v>
      </c>
      <c r="E78" t="s">
        <v>22</v>
      </c>
      <c r="F78" t="s">
        <v>61</v>
      </c>
      <c r="G78" t="s">
        <v>88</v>
      </c>
      <c r="H78" s="3" t="s">
        <v>272</v>
      </c>
      <c r="I78" s="3" t="s">
        <v>273</v>
      </c>
      <c r="J78" t="s">
        <v>36</v>
      </c>
      <c r="K78">
        <v>66572</v>
      </c>
      <c r="L78" t="s">
        <v>45</v>
      </c>
      <c r="M78">
        <v>7</v>
      </c>
      <c r="N78" t="s">
        <v>29</v>
      </c>
      <c r="O78" t="str">
        <f t="shared" si="6"/>
        <v>Adult</v>
      </c>
      <c r="P78">
        <f t="shared" si="7"/>
        <v>2025</v>
      </c>
      <c r="Q78" t="str">
        <f t="shared" si="8"/>
        <v>Jan</v>
      </c>
      <c r="R78">
        <f t="shared" si="9"/>
        <v>2024</v>
      </c>
      <c r="S78" t="str">
        <f t="shared" si="10"/>
        <v>Dec</v>
      </c>
    </row>
    <row r="79" spans="1:19" x14ac:dyDescent="0.3">
      <c r="A79" t="s">
        <v>274</v>
      </c>
      <c r="B79" t="s">
        <v>31</v>
      </c>
      <c r="C79" t="s">
        <v>21</v>
      </c>
      <c r="D79">
        <v>82</v>
      </c>
      <c r="E79" t="s">
        <v>49</v>
      </c>
      <c r="F79" t="s">
        <v>55</v>
      </c>
      <c r="G79" t="s">
        <v>62</v>
      </c>
      <c r="H79" s="3" t="s">
        <v>275</v>
      </c>
      <c r="I79" s="3" t="s">
        <v>190</v>
      </c>
      <c r="J79" t="s">
        <v>52</v>
      </c>
      <c r="K79">
        <v>21899</v>
      </c>
      <c r="L79" t="s">
        <v>58</v>
      </c>
      <c r="M79">
        <v>2</v>
      </c>
      <c r="N79" t="s">
        <v>29</v>
      </c>
      <c r="O79" t="str">
        <f t="shared" si="6"/>
        <v>Senior</v>
      </c>
      <c r="P79">
        <f t="shared" si="7"/>
        <v>2024</v>
      </c>
      <c r="Q79" t="str">
        <f t="shared" si="8"/>
        <v>Aug</v>
      </c>
      <c r="R79">
        <f t="shared" si="9"/>
        <v>2024</v>
      </c>
      <c r="S79" t="str">
        <f t="shared" si="10"/>
        <v>Aug</v>
      </c>
    </row>
    <row r="80" spans="1:19" x14ac:dyDescent="0.3">
      <c r="A80" t="s">
        <v>276</v>
      </c>
      <c r="B80" t="s">
        <v>109</v>
      </c>
      <c r="C80" t="s">
        <v>32</v>
      </c>
      <c r="D80">
        <v>3</v>
      </c>
      <c r="E80" t="s">
        <v>39</v>
      </c>
      <c r="F80" t="s">
        <v>61</v>
      </c>
      <c r="G80" t="s">
        <v>24</v>
      </c>
      <c r="H80" s="3" t="s">
        <v>259</v>
      </c>
      <c r="I80" s="3" t="s">
        <v>277</v>
      </c>
      <c r="J80" t="s">
        <v>36</v>
      </c>
      <c r="K80">
        <v>60416</v>
      </c>
      <c r="L80" t="s">
        <v>45</v>
      </c>
      <c r="M80">
        <v>5</v>
      </c>
      <c r="N80" t="s">
        <v>46</v>
      </c>
      <c r="O80" t="str">
        <f t="shared" si="6"/>
        <v>Child</v>
      </c>
      <c r="P80">
        <f t="shared" si="7"/>
        <v>2024</v>
      </c>
      <c r="Q80" t="str">
        <f t="shared" si="8"/>
        <v>May</v>
      </c>
      <c r="R80">
        <f t="shared" si="9"/>
        <v>2024</v>
      </c>
      <c r="S80" t="str">
        <f t="shared" si="10"/>
        <v>May</v>
      </c>
    </row>
    <row r="81" spans="1:19" x14ac:dyDescent="0.3">
      <c r="A81" t="s">
        <v>278</v>
      </c>
      <c r="B81" t="s">
        <v>109</v>
      </c>
      <c r="C81" t="s">
        <v>21</v>
      </c>
      <c r="D81">
        <v>46</v>
      </c>
      <c r="E81" t="s">
        <v>33</v>
      </c>
      <c r="F81" t="s">
        <v>61</v>
      </c>
      <c r="G81" t="s">
        <v>41</v>
      </c>
      <c r="H81" s="3" t="s">
        <v>279</v>
      </c>
      <c r="I81" s="3" t="s">
        <v>280</v>
      </c>
      <c r="J81" t="s">
        <v>65</v>
      </c>
      <c r="K81">
        <v>89609</v>
      </c>
      <c r="L81" t="s">
        <v>28</v>
      </c>
      <c r="M81">
        <v>1</v>
      </c>
      <c r="N81" t="s">
        <v>46</v>
      </c>
      <c r="O81" t="str">
        <f t="shared" si="6"/>
        <v>Adult</v>
      </c>
      <c r="P81">
        <f t="shared" si="7"/>
        <v>2024</v>
      </c>
      <c r="Q81" t="str">
        <f t="shared" si="8"/>
        <v>Apr</v>
      </c>
      <c r="R81">
        <f t="shared" si="9"/>
        <v>2024</v>
      </c>
      <c r="S81" t="str">
        <f t="shared" si="10"/>
        <v>Apr</v>
      </c>
    </row>
    <row r="82" spans="1:19" x14ac:dyDescent="0.3">
      <c r="A82" t="s">
        <v>281</v>
      </c>
      <c r="B82" t="s">
        <v>109</v>
      </c>
      <c r="C82" t="s">
        <v>21</v>
      </c>
      <c r="D82">
        <v>83</v>
      </c>
      <c r="E82" t="s">
        <v>74</v>
      </c>
      <c r="F82" t="s">
        <v>40</v>
      </c>
      <c r="G82" t="s">
        <v>81</v>
      </c>
      <c r="H82" s="3" t="s">
        <v>282</v>
      </c>
      <c r="I82" s="3" t="s">
        <v>283</v>
      </c>
      <c r="J82" t="s">
        <v>36</v>
      </c>
      <c r="K82">
        <v>87908</v>
      </c>
      <c r="L82" t="s">
        <v>28</v>
      </c>
      <c r="M82">
        <v>5</v>
      </c>
      <c r="N82" t="s">
        <v>29</v>
      </c>
      <c r="O82" t="str">
        <f t="shared" si="6"/>
        <v>Senior</v>
      </c>
      <c r="P82">
        <f t="shared" si="7"/>
        <v>2024</v>
      </c>
      <c r="Q82" t="str">
        <f t="shared" si="8"/>
        <v>Dec</v>
      </c>
      <c r="R82">
        <f t="shared" si="9"/>
        <v>2024</v>
      </c>
      <c r="S82" t="str">
        <f t="shared" si="10"/>
        <v>Dec</v>
      </c>
    </row>
    <row r="83" spans="1:19" x14ac:dyDescent="0.3">
      <c r="A83" t="s">
        <v>284</v>
      </c>
      <c r="B83" t="s">
        <v>38</v>
      </c>
      <c r="C83" t="s">
        <v>32</v>
      </c>
      <c r="D83">
        <v>29</v>
      </c>
      <c r="E83" t="s">
        <v>74</v>
      </c>
      <c r="F83" t="s">
        <v>40</v>
      </c>
      <c r="G83" t="s">
        <v>24</v>
      </c>
      <c r="H83" s="3" t="s">
        <v>226</v>
      </c>
      <c r="I83" s="3" t="s">
        <v>285</v>
      </c>
      <c r="J83" t="s">
        <v>103</v>
      </c>
      <c r="K83">
        <v>64219</v>
      </c>
      <c r="L83" t="s">
        <v>45</v>
      </c>
      <c r="M83">
        <v>1</v>
      </c>
      <c r="N83" t="s">
        <v>46</v>
      </c>
      <c r="O83" t="str">
        <f t="shared" si="6"/>
        <v>Adult</v>
      </c>
      <c r="P83">
        <f t="shared" si="7"/>
        <v>2024</v>
      </c>
      <c r="Q83" t="str">
        <f t="shared" si="8"/>
        <v>Sep</v>
      </c>
      <c r="R83">
        <f t="shared" si="9"/>
        <v>2024</v>
      </c>
      <c r="S83" t="str">
        <f t="shared" si="10"/>
        <v>Sep</v>
      </c>
    </row>
    <row r="84" spans="1:19" x14ac:dyDescent="0.3">
      <c r="A84" t="s">
        <v>286</v>
      </c>
      <c r="B84" t="s">
        <v>173</v>
      </c>
      <c r="C84" t="s">
        <v>21</v>
      </c>
      <c r="D84">
        <v>35</v>
      </c>
      <c r="E84" t="s">
        <v>60</v>
      </c>
      <c r="F84" t="s">
        <v>68</v>
      </c>
      <c r="G84" t="s">
        <v>111</v>
      </c>
      <c r="H84" s="3" t="s">
        <v>287</v>
      </c>
      <c r="I84" s="3" t="s">
        <v>288</v>
      </c>
      <c r="J84" t="s">
        <v>65</v>
      </c>
      <c r="K84">
        <v>65808</v>
      </c>
      <c r="L84" t="s">
        <v>58</v>
      </c>
      <c r="M84">
        <v>9</v>
      </c>
      <c r="N84" t="s">
        <v>29</v>
      </c>
      <c r="O84" t="str">
        <f t="shared" si="6"/>
        <v>Adult</v>
      </c>
      <c r="P84">
        <f t="shared" si="7"/>
        <v>2024</v>
      </c>
      <c r="Q84" t="str">
        <f t="shared" si="8"/>
        <v>Mar</v>
      </c>
      <c r="R84">
        <f t="shared" si="9"/>
        <v>2024</v>
      </c>
      <c r="S84" t="str">
        <f t="shared" si="10"/>
        <v>Mar</v>
      </c>
    </row>
    <row r="85" spans="1:19" x14ac:dyDescent="0.3">
      <c r="A85" t="s">
        <v>289</v>
      </c>
      <c r="B85" t="s">
        <v>79</v>
      </c>
      <c r="C85" t="s">
        <v>21</v>
      </c>
      <c r="D85">
        <v>32</v>
      </c>
      <c r="E85" t="s">
        <v>54</v>
      </c>
      <c r="F85" t="s">
        <v>55</v>
      </c>
      <c r="G85" t="s">
        <v>24</v>
      </c>
      <c r="H85" s="3" t="s">
        <v>290</v>
      </c>
      <c r="I85" s="3" t="s">
        <v>259</v>
      </c>
      <c r="J85" t="s">
        <v>65</v>
      </c>
      <c r="K85">
        <v>36504</v>
      </c>
      <c r="L85" t="s">
        <v>28</v>
      </c>
      <c r="M85">
        <v>9</v>
      </c>
      <c r="N85" t="s">
        <v>29</v>
      </c>
      <c r="O85" t="str">
        <f t="shared" si="6"/>
        <v>Adult</v>
      </c>
      <c r="P85">
        <f t="shared" si="7"/>
        <v>2024</v>
      </c>
      <c r="Q85" t="str">
        <f t="shared" si="8"/>
        <v>May</v>
      </c>
      <c r="R85">
        <f t="shared" si="9"/>
        <v>2024</v>
      </c>
      <c r="S85" t="str">
        <f t="shared" si="10"/>
        <v>May</v>
      </c>
    </row>
    <row r="86" spans="1:19" x14ac:dyDescent="0.3">
      <c r="A86" t="s">
        <v>291</v>
      </c>
      <c r="B86" t="s">
        <v>144</v>
      </c>
      <c r="C86" t="s">
        <v>21</v>
      </c>
      <c r="D86">
        <v>34</v>
      </c>
      <c r="E86" t="s">
        <v>49</v>
      </c>
      <c r="F86" t="s">
        <v>40</v>
      </c>
      <c r="G86" t="s">
        <v>111</v>
      </c>
      <c r="H86" s="3" t="s">
        <v>287</v>
      </c>
      <c r="I86" s="3" t="s">
        <v>292</v>
      </c>
      <c r="J86" t="s">
        <v>36</v>
      </c>
      <c r="K86">
        <v>30504</v>
      </c>
      <c r="L86" t="s">
        <v>58</v>
      </c>
      <c r="M86">
        <v>5</v>
      </c>
      <c r="N86" t="s">
        <v>77</v>
      </c>
      <c r="O86" t="str">
        <f t="shared" si="6"/>
        <v>Adult</v>
      </c>
      <c r="P86">
        <f t="shared" si="7"/>
        <v>2024</v>
      </c>
      <c r="Q86" t="str">
        <f t="shared" si="8"/>
        <v>Mar</v>
      </c>
      <c r="R86">
        <f t="shared" si="9"/>
        <v>2024</v>
      </c>
      <c r="S86" t="str">
        <f t="shared" si="10"/>
        <v>Mar</v>
      </c>
    </row>
    <row r="87" spans="1:19" x14ac:dyDescent="0.3">
      <c r="A87" t="s">
        <v>293</v>
      </c>
      <c r="B87" t="s">
        <v>101</v>
      </c>
      <c r="C87" t="s">
        <v>32</v>
      </c>
      <c r="D87">
        <v>4</v>
      </c>
      <c r="E87" t="s">
        <v>60</v>
      </c>
      <c r="F87" t="s">
        <v>61</v>
      </c>
      <c r="G87" t="s">
        <v>111</v>
      </c>
      <c r="H87" s="3" t="s">
        <v>294</v>
      </c>
      <c r="I87" s="3" t="s">
        <v>295</v>
      </c>
      <c r="J87" t="s">
        <v>44</v>
      </c>
      <c r="K87">
        <v>84763</v>
      </c>
      <c r="L87" t="s">
        <v>45</v>
      </c>
      <c r="M87">
        <v>2</v>
      </c>
      <c r="N87" t="s">
        <v>46</v>
      </c>
      <c r="O87" t="str">
        <f t="shared" si="6"/>
        <v>Child</v>
      </c>
      <c r="P87">
        <f t="shared" si="7"/>
        <v>2024</v>
      </c>
      <c r="Q87" t="str">
        <f t="shared" si="8"/>
        <v>May</v>
      </c>
      <c r="R87">
        <f t="shared" si="9"/>
        <v>2024</v>
      </c>
      <c r="S87" t="str">
        <f t="shared" si="10"/>
        <v>May</v>
      </c>
    </row>
    <row r="88" spans="1:19" x14ac:dyDescent="0.3">
      <c r="A88" t="s">
        <v>296</v>
      </c>
      <c r="B88" t="s">
        <v>101</v>
      </c>
      <c r="C88" t="s">
        <v>21</v>
      </c>
      <c r="D88">
        <v>27</v>
      </c>
      <c r="E88" t="s">
        <v>33</v>
      </c>
      <c r="F88" t="s">
        <v>40</v>
      </c>
      <c r="G88" t="s">
        <v>111</v>
      </c>
      <c r="H88" s="3" t="s">
        <v>64</v>
      </c>
      <c r="I88" s="3" t="s">
        <v>297</v>
      </c>
      <c r="J88" t="s">
        <v>103</v>
      </c>
      <c r="K88">
        <v>95996</v>
      </c>
      <c r="L88" t="s">
        <v>45</v>
      </c>
      <c r="M88">
        <v>6</v>
      </c>
      <c r="N88" t="s">
        <v>29</v>
      </c>
      <c r="O88" t="str">
        <f t="shared" si="6"/>
        <v>Adult</v>
      </c>
      <c r="P88">
        <f t="shared" si="7"/>
        <v>2024</v>
      </c>
      <c r="Q88" t="str">
        <f t="shared" si="8"/>
        <v>May</v>
      </c>
      <c r="R88">
        <f t="shared" si="9"/>
        <v>2024</v>
      </c>
      <c r="S88" t="str">
        <f t="shared" si="10"/>
        <v>May</v>
      </c>
    </row>
    <row r="89" spans="1:19" x14ac:dyDescent="0.3">
      <c r="A89" t="s">
        <v>298</v>
      </c>
      <c r="B89" t="s">
        <v>48</v>
      </c>
      <c r="C89" t="s">
        <v>21</v>
      </c>
      <c r="D89">
        <v>83</v>
      </c>
      <c r="E89" t="s">
        <v>39</v>
      </c>
      <c r="F89" t="s">
        <v>40</v>
      </c>
      <c r="G89" t="s">
        <v>62</v>
      </c>
      <c r="H89" s="3" t="s">
        <v>86</v>
      </c>
      <c r="I89" s="3" t="s">
        <v>299</v>
      </c>
      <c r="J89" t="s">
        <v>65</v>
      </c>
      <c r="K89">
        <v>81568</v>
      </c>
      <c r="L89" t="s">
        <v>45</v>
      </c>
      <c r="M89">
        <v>10</v>
      </c>
      <c r="N89" t="s">
        <v>77</v>
      </c>
      <c r="O89" t="str">
        <f t="shared" si="6"/>
        <v>Senior</v>
      </c>
      <c r="P89">
        <f t="shared" si="7"/>
        <v>2024</v>
      </c>
      <c r="Q89" t="str">
        <f t="shared" si="8"/>
        <v>Feb</v>
      </c>
      <c r="R89">
        <f t="shared" si="9"/>
        <v>2024</v>
      </c>
      <c r="S89" t="str">
        <f t="shared" si="10"/>
        <v>Jan</v>
      </c>
    </row>
    <row r="90" spans="1:19" x14ac:dyDescent="0.3">
      <c r="A90" t="s">
        <v>300</v>
      </c>
      <c r="B90" t="s">
        <v>48</v>
      </c>
      <c r="C90" t="s">
        <v>32</v>
      </c>
      <c r="D90">
        <v>71</v>
      </c>
      <c r="E90" t="s">
        <v>33</v>
      </c>
      <c r="F90" t="s">
        <v>55</v>
      </c>
      <c r="G90" t="s">
        <v>81</v>
      </c>
      <c r="H90" s="3" t="s">
        <v>301</v>
      </c>
      <c r="I90" s="3" t="s">
        <v>302</v>
      </c>
      <c r="J90" t="s">
        <v>71</v>
      </c>
      <c r="K90">
        <v>61860</v>
      </c>
      <c r="L90" t="s">
        <v>28</v>
      </c>
      <c r="M90">
        <v>5</v>
      </c>
      <c r="N90" t="s">
        <v>29</v>
      </c>
      <c r="O90" t="str">
        <f t="shared" si="6"/>
        <v>Senior</v>
      </c>
      <c r="P90">
        <f t="shared" si="7"/>
        <v>2024</v>
      </c>
      <c r="Q90" t="str">
        <f t="shared" si="8"/>
        <v>Mar</v>
      </c>
      <c r="R90">
        <f t="shared" si="9"/>
        <v>2024</v>
      </c>
      <c r="S90" t="str">
        <f t="shared" si="10"/>
        <v>Mar</v>
      </c>
    </row>
    <row r="91" spans="1:19" x14ac:dyDescent="0.3">
      <c r="A91" t="s">
        <v>303</v>
      </c>
      <c r="B91" t="s">
        <v>73</v>
      </c>
      <c r="C91" t="s">
        <v>32</v>
      </c>
      <c r="D91">
        <v>61</v>
      </c>
      <c r="E91" t="s">
        <v>74</v>
      </c>
      <c r="F91" t="s">
        <v>68</v>
      </c>
      <c r="G91" t="s">
        <v>24</v>
      </c>
      <c r="H91" s="3" t="s">
        <v>304</v>
      </c>
      <c r="I91" s="3" t="s">
        <v>305</v>
      </c>
      <c r="J91" t="s">
        <v>65</v>
      </c>
      <c r="K91">
        <v>98689</v>
      </c>
      <c r="L91" t="s">
        <v>58</v>
      </c>
      <c r="M91">
        <v>4</v>
      </c>
      <c r="N91" t="s">
        <v>46</v>
      </c>
      <c r="O91" t="str">
        <f t="shared" si="6"/>
        <v>Senior</v>
      </c>
      <c r="P91">
        <f t="shared" si="7"/>
        <v>2024</v>
      </c>
      <c r="Q91" t="str">
        <f t="shared" si="8"/>
        <v>Jul</v>
      </c>
      <c r="R91">
        <f t="shared" si="9"/>
        <v>2024</v>
      </c>
      <c r="S91" t="str">
        <f t="shared" si="10"/>
        <v>Jul</v>
      </c>
    </row>
    <row r="92" spans="1:19" x14ac:dyDescent="0.3">
      <c r="A92" t="s">
        <v>306</v>
      </c>
      <c r="B92" t="s">
        <v>153</v>
      </c>
      <c r="C92" t="s">
        <v>21</v>
      </c>
      <c r="D92">
        <v>68</v>
      </c>
      <c r="E92" t="s">
        <v>39</v>
      </c>
      <c r="F92" t="s">
        <v>110</v>
      </c>
      <c r="G92" t="s">
        <v>88</v>
      </c>
      <c r="H92" s="3" t="s">
        <v>307</v>
      </c>
      <c r="I92" s="3" t="s">
        <v>308</v>
      </c>
      <c r="J92" t="s">
        <v>71</v>
      </c>
      <c r="K92">
        <v>48311</v>
      </c>
      <c r="L92" t="s">
        <v>28</v>
      </c>
      <c r="M92">
        <v>7</v>
      </c>
      <c r="N92" t="s">
        <v>77</v>
      </c>
      <c r="O92" t="str">
        <f t="shared" si="6"/>
        <v>Senior</v>
      </c>
      <c r="P92">
        <f t="shared" si="7"/>
        <v>2024</v>
      </c>
      <c r="Q92" t="str">
        <f t="shared" si="8"/>
        <v>Mar</v>
      </c>
      <c r="R92">
        <f t="shared" si="9"/>
        <v>2024</v>
      </c>
      <c r="S92" t="str">
        <f t="shared" si="10"/>
        <v>Mar</v>
      </c>
    </row>
    <row r="93" spans="1:19" x14ac:dyDescent="0.3">
      <c r="A93" t="s">
        <v>309</v>
      </c>
      <c r="B93" t="s">
        <v>109</v>
      </c>
      <c r="C93" t="s">
        <v>21</v>
      </c>
      <c r="D93">
        <v>54</v>
      </c>
      <c r="E93" t="s">
        <v>74</v>
      </c>
      <c r="F93" t="s">
        <v>55</v>
      </c>
      <c r="G93" t="s">
        <v>111</v>
      </c>
      <c r="H93" s="3" t="s">
        <v>242</v>
      </c>
      <c r="I93" s="3" t="s">
        <v>310</v>
      </c>
      <c r="J93" t="s">
        <v>27</v>
      </c>
      <c r="K93">
        <v>67494</v>
      </c>
      <c r="L93" t="s">
        <v>28</v>
      </c>
      <c r="M93">
        <v>8</v>
      </c>
      <c r="N93" t="s">
        <v>77</v>
      </c>
      <c r="O93" t="str">
        <f t="shared" si="6"/>
        <v>Adult</v>
      </c>
      <c r="P93">
        <f t="shared" si="7"/>
        <v>2024</v>
      </c>
      <c r="Q93" t="str">
        <f t="shared" si="8"/>
        <v>Feb</v>
      </c>
      <c r="R93">
        <f t="shared" si="9"/>
        <v>2024</v>
      </c>
      <c r="S93" t="str">
        <f t="shared" si="10"/>
        <v>Jan</v>
      </c>
    </row>
    <row r="94" spans="1:19" x14ac:dyDescent="0.3">
      <c r="A94" t="s">
        <v>311</v>
      </c>
      <c r="B94" t="s">
        <v>255</v>
      </c>
      <c r="C94" t="s">
        <v>21</v>
      </c>
      <c r="D94">
        <v>43</v>
      </c>
      <c r="E94" t="s">
        <v>39</v>
      </c>
      <c r="F94" t="s">
        <v>55</v>
      </c>
      <c r="G94" t="s">
        <v>111</v>
      </c>
      <c r="H94" s="3" t="s">
        <v>200</v>
      </c>
      <c r="I94" s="3" t="s">
        <v>133</v>
      </c>
      <c r="J94" t="s">
        <v>27</v>
      </c>
      <c r="K94">
        <v>49415</v>
      </c>
      <c r="L94" t="s">
        <v>45</v>
      </c>
      <c r="M94">
        <v>8</v>
      </c>
      <c r="N94" t="s">
        <v>77</v>
      </c>
      <c r="O94" t="str">
        <f t="shared" si="6"/>
        <v>Adult</v>
      </c>
      <c r="P94">
        <f t="shared" si="7"/>
        <v>2024</v>
      </c>
      <c r="Q94" t="str">
        <f t="shared" si="8"/>
        <v>Dec</v>
      </c>
      <c r="R94">
        <f t="shared" si="9"/>
        <v>2024</v>
      </c>
      <c r="S94" t="str">
        <f t="shared" si="10"/>
        <v>Dec</v>
      </c>
    </row>
    <row r="95" spans="1:19" x14ac:dyDescent="0.3">
      <c r="A95" t="s">
        <v>312</v>
      </c>
      <c r="B95" t="s">
        <v>153</v>
      </c>
      <c r="C95" t="s">
        <v>32</v>
      </c>
      <c r="D95">
        <v>54</v>
      </c>
      <c r="E95" t="s">
        <v>74</v>
      </c>
      <c r="F95" t="s">
        <v>80</v>
      </c>
      <c r="G95" t="s">
        <v>62</v>
      </c>
      <c r="H95" s="3" t="s">
        <v>313</v>
      </c>
      <c r="I95" s="3" t="s">
        <v>314</v>
      </c>
      <c r="J95" t="s">
        <v>103</v>
      </c>
      <c r="K95">
        <v>58866</v>
      </c>
      <c r="L95" t="s">
        <v>28</v>
      </c>
      <c r="M95">
        <v>9</v>
      </c>
      <c r="N95" t="s">
        <v>29</v>
      </c>
      <c r="O95" t="str">
        <f t="shared" si="6"/>
        <v>Adult</v>
      </c>
      <c r="P95">
        <f t="shared" si="7"/>
        <v>2024</v>
      </c>
      <c r="Q95" t="str">
        <f t="shared" si="8"/>
        <v>Aug</v>
      </c>
      <c r="R95">
        <f t="shared" si="9"/>
        <v>2024</v>
      </c>
      <c r="S95" t="str">
        <f t="shared" si="10"/>
        <v>Aug</v>
      </c>
    </row>
    <row r="96" spans="1:19" x14ac:dyDescent="0.3">
      <c r="A96" t="s">
        <v>315</v>
      </c>
      <c r="B96" t="s">
        <v>67</v>
      </c>
      <c r="C96" t="s">
        <v>32</v>
      </c>
      <c r="D96">
        <v>72</v>
      </c>
      <c r="E96" t="s">
        <v>60</v>
      </c>
      <c r="F96" t="s">
        <v>80</v>
      </c>
      <c r="G96" t="s">
        <v>41</v>
      </c>
      <c r="H96" s="3" t="s">
        <v>316</v>
      </c>
      <c r="I96" s="3" t="s">
        <v>317</v>
      </c>
      <c r="J96" t="s">
        <v>52</v>
      </c>
      <c r="K96">
        <v>62821</v>
      </c>
      <c r="L96" t="s">
        <v>45</v>
      </c>
      <c r="M96">
        <v>8</v>
      </c>
      <c r="N96" t="s">
        <v>46</v>
      </c>
      <c r="O96" t="str">
        <f t="shared" si="6"/>
        <v>Senior</v>
      </c>
      <c r="P96">
        <f t="shared" si="7"/>
        <v>2024</v>
      </c>
      <c r="Q96" t="str">
        <f t="shared" si="8"/>
        <v>Nov</v>
      </c>
      <c r="R96">
        <f t="shared" si="9"/>
        <v>2024</v>
      </c>
      <c r="S96" t="str">
        <f t="shared" si="10"/>
        <v>Nov</v>
      </c>
    </row>
    <row r="97" spans="1:19" x14ac:dyDescent="0.3">
      <c r="A97" t="s">
        <v>318</v>
      </c>
      <c r="B97" t="s">
        <v>105</v>
      </c>
      <c r="C97" t="s">
        <v>32</v>
      </c>
      <c r="D97">
        <v>36</v>
      </c>
      <c r="E97" t="s">
        <v>54</v>
      </c>
      <c r="F97" t="s">
        <v>110</v>
      </c>
      <c r="G97" t="s">
        <v>111</v>
      </c>
      <c r="H97" s="3" t="s">
        <v>259</v>
      </c>
      <c r="I97" s="3" t="s">
        <v>260</v>
      </c>
      <c r="J97" t="s">
        <v>103</v>
      </c>
      <c r="K97">
        <v>86767</v>
      </c>
      <c r="L97" t="s">
        <v>28</v>
      </c>
      <c r="M97">
        <v>10</v>
      </c>
      <c r="N97" t="s">
        <v>29</v>
      </c>
      <c r="O97" t="str">
        <f t="shared" si="6"/>
        <v>Adult</v>
      </c>
      <c r="P97">
        <f t="shared" si="7"/>
        <v>2024</v>
      </c>
      <c r="Q97" t="str">
        <f t="shared" si="8"/>
        <v>May</v>
      </c>
      <c r="R97">
        <f t="shared" si="9"/>
        <v>2024</v>
      </c>
      <c r="S97" t="str">
        <f t="shared" si="10"/>
        <v>May</v>
      </c>
    </row>
    <row r="98" spans="1:19" x14ac:dyDescent="0.3">
      <c r="A98" t="s">
        <v>319</v>
      </c>
      <c r="B98" t="s">
        <v>118</v>
      </c>
      <c r="C98" t="s">
        <v>32</v>
      </c>
      <c r="D98">
        <v>82</v>
      </c>
      <c r="E98" t="s">
        <v>74</v>
      </c>
      <c r="F98" t="s">
        <v>55</v>
      </c>
      <c r="G98" t="s">
        <v>62</v>
      </c>
      <c r="H98" s="3" t="s">
        <v>145</v>
      </c>
      <c r="I98" s="3" t="s">
        <v>126</v>
      </c>
      <c r="J98" t="s">
        <v>103</v>
      </c>
      <c r="K98">
        <v>37693</v>
      </c>
      <c r="L98" t="s">
        <v>28</v>
      </c>
      <c r="M98">
        <v>4</v>
      </c>
      <c r="N98" t="s">
        <v>77</v>
      </c>
      <c r="O98" t="str">
        <f t="shared" si="6"/>
        <v>Senior</v>
      </c>
      <c r="P98">
        <f t="shared" si="7"/>
        <v>2024</v>
      </c>
      <c r="Q98" t="str">
        <f t="shared" si="8"/>
        <v>Oct</v>
      </c>
      <c r="R98">
        <f t="shared" si="9"/>
        <v>2024</v>
      </c>
      <c r="S98" t="str">
        <f t="shared" si="10"/>
        <v>Oct</v>
      </c>
    </row>
    <row r="99" spans="1:19" x14ac:dyDescent="0.3">
      <c r="A99" t="s">
        <v>320</v>
      </c>
      <c r="B99" t="s">
        <v>101</v>
      </c>
      <c r="C99" t="s">
        <v>21</v>
      </c>
      <c r="D99">
        <v>20</v>
      </c>
      <c r="E99" t="s">
        <v>60</v>
      </c>
      <c r="F99" t="s">
        <v>61</v>
      </c>
      <c r="G99" t="s">
        <v>24</v>
      </c>
      <c r="H99" s="3" t="s">
        <v>95</v>
      </c>
      <c r="I99" s="3" t="s">
        <v>151</v>
      </c>
      <c r="J99" t="s">
        <v>103</v>
      </c>
      <c r="K99">
        <v>48159</v>
      </c>
      <c r="L99" t="s">
        <v>58</v>
      </c>
      <c r="M99">
        <v>8</v>
      </c>
      <c r="N99" t="s">
        <v>77</v>
      </c>
      <c r="O99" t="str">
        <f t="shared" si="6"/>
        <v>Adult</v>
      </c>
      <c r="P99">
        <f t="shared" si="7"/>
        <v>2024</v>
      </c>
      <c r="Q99" t="str">
        <f t="shared" si="8"/>
        <v>Aug</v>
      </c>
      <c r="R99">
        <f t="shared" si="9"/>
        <v>2024</v>
      </c>
      <c r="S99" t="str">
        <f t="shared" si="10"/>
        <v>Jul</v>
      </c>
    </row>
    <row r="100" spans="1:19" x14ac:dyDescent="0.3">
      <c r="A100" t="s">
        <v>321</v>
      </c>
      <c r="B100" t="s">
        <v>179</v>
      </c>
      <c r="C100" t="s">
        <v>21</v>
      </c>
      <c r="D100">
        <v>62</v>
      </c>
      <c r="E100" t="s">
        <v>60</v>
      </c>
      <c r="F100" t="s">
        <v>55</v>
      </c>
      <c r="G100" t="s">
        <v>24</v>
      </c>
      <c r="H100" s="3" t="s">
        <v>25</v>
      </c>
      <c r="I100" s="3" t="s">
        <v>322</v>
      </c>
      <c r="J100" t="s">
        <v>65</v>
      </c>
      <c r="K100">
        <v>85124</v>
      </c>
      <c r="L100" t="s">
        <v>58</v>
      </c>
      <c r="M100">
        <v>2</v>
      </c>
      <c r="N100" t="s">
        <v>29</v>
      </c>
      <c r="O100" t="str">
        <f t="shared" si="6"/>
        <v>Senior</v>
      </c>
      <c r="P100">
        <f t="shared" si="7"/>
        <v>2024</v>
      </c>
      <c r="Q100" t="str">
        <f t="shared" si="8"/>
        <v>Sep</v>
      </c>
      <c r="R100">
        <f t="shared" si="9"/>
        <v>2024</v>
      </c>
      <c r="S100" t="str">
        <f t="shared" si="10"/>
        <v>Sep</v>
      </c>
    </row>
    <row r="101" spans="1:19" x14ac:dyDescent="0.3">
      <c r="A101" t="s">
        <v>323</v>
      </c>
      <c r="B101" t="s">
        <v>118</v>
      </c>
      <c r="C101" t="s">
        <v>32</v>
      </c>
      <c r="D101">
        <v>4</v>
      </c>
      <c r="E101" t="s">
        <v>60</v>
      </c>
      <c r="F101" t="s">
        <v>40</v>
      </c>
      <c r="G101" t="s">
        <v>62</v>
      </c>
      <c r="H101" s="3" t="s">
        <v>236</v>
      </c>
      <c r="I101" s="3" t="s">
        <v>324</v>
      </c>
      <c r="J101" t="s">
        <v>44</v>
      </c>
      <c r="K101">
        <v>40189</v>
      </c>
      <c r="L101" t="s">
        <v>58</v>
      </c>
      <c r="M101">
        <v>7</v>
      </c>
      <c r="N101" t="s">
        <v>29</v>
      </c>
      <c r="O101" t="str">
        <f t="shared" si="6"/>
        <v>Child</v>
      </c>
      <c r="P101">
        <f t="shared" si="7"/>
        <v>2024</v>
      </c>
      <c r="Q101" t="str">
        <f t="shared" si="8"/>
        <v>Mar</v>
      </c>
      <c r="R101">
        <f t="shared" si="9"/>
        <v>2024</v>
      </c>
      <c r="S101" t="str">
        <f t="shared" si="10"/>
        <v>Mar</v>
      </c>
    </row>
    <row r="102" spans="1:19" x14ac:dyDescent="0.3">
      <c r="A102" t="s">
        <v>325</v>
      </c>
      <c r="B102" t="s">
        <v>179</v>
      </c>
      <c r="C102" t="s">
        <v>21</v>
      </c>
      <c r="D102">
        <v>13</v>
      </c>
      <c r="E102" t="s">
        <v>22</v>
      </c>
      <c r="F102" t="s">
        <v>68</v>
      </c>
      <c r="G102" t="s">
        <v>41</v>
      </c>
      <c r="H102" s="3" t="s">
        <v>168</v>
      </c>
      <c r="I102" s="3" t="s">
        <v>285</v>
      </c>
      <c r="J102" t="s">
        <v>44</v>
      </c>
      <c r="K102">
        <v>52555</v>
      </c>
      <c r="L102" t="s">
        <v>45</v>
      </c>
      <c r="M102">
        <v>10</v>
      </c>
      <c r="N102" t="s">
        <v>77</v>
      </c>
      <c r="O102" t="str">
        <f t="shared" si="6"/>
        <v>Child</v>
      </c>
      <c r="P102">
        <f t="shared" si="7"/>
        <v>2024</v>
      </c>
      <c r="Q102" t="str">
        <f t="shared" si="8"/>
        <v>Sep</v>
      </c>
      <c r="R102">
        <f t="shared" si="9"/>
        <v>2024</v>
      </c>
      <c r="S102" t="str">
        <f t="shared" si="10"/>
        <v>Sep</v>
      </c>
    </row>
    <row r="103" spans="1:19" x14ac:dyDescent="0.3">
      <c r="A103" t="s">
        <v>326</v>
      </c>
      <c r="B103" t="s">
        <v>109</v>
      </c>
      <c r="C103" t="s">
        <v>32</v>
      </c>
      <c r="D103">
        <v>29</v>
      </c>
      <c r="E103" t="s">
        <v>39</v>
      </c>
      <c r="F103" t="s">
        <v>110</v>
      </c>
      <c r="G103" t="s">
        <v>62</v>
      </c>
      <c r="H103" s="3" t="s">
        <v>193</v>
      </c>
      <c r="I103" s="3" t="s">
        <v>217</v>
      </c>
      <c r="J103" t="s">
        <v>52</v>
      </c>
      <c r="K103">
        <v>91631</v>
      </c>
      <c r="L103" t="s">
        <v>28</v>
      </c>
      <c r="M103">
        <v>5</v>
      </c>
      <c r="N103" t="s">
        <v>77</v>
      </c>
      <c r="O103" t="str">
        <f t="shared" si="6"/>
        <v>Adult</v>
      </c>
      <c r="P103">
        <f t="shared" si="7"/>
        <v>2024</v>
      </c>
      <c r="Q103" t="str">
        <f t="shared" si="8"/>
        <v>Feb</v>
      </c>
      <c r="R103">
        <f t="shared" si="9"/>
        <v>2024</v>
      </c>
      <c r="S103" t="str">
        <f t="shared" si="10"/>
        <v>Feb</v>
      </c>
    </row>
    <row r="104" spans="1:19" x14ac:dyDescent="0.3">
      <c r="A104" t="s">
        <v>327</v>
      </c>
      <c r="B104" t="s">
        <v>20</v>
      </c>
      <c r="C104" t="s">
        <v>32</v>
      </c>
      <c r="D104">
        <v>7</v>
      </c>
      <c r="E104" t="s">
        <v>22</v>
      </c>
      <c r="F104" t="s">
        <v>23</v>
      </c>
      <c r="G104" t="s">
        <v>41</v>
      </c>
      <c r="H104" s="3" t="s">
        <v>171</v>
      </c>
      <c r="I104" s="3" t="s">
        <v>167</v>
      </c>
      <c r="J104" t="s">
        <v>71</v>
      </c>
      <c r="K104">
        <v>83031</v>
      </c>
      <c r="L104" t="s">
        <v>58</v>
      </c>
      <c r="M104">
        <v>1</v>
      </c>
      <c r="N104" t="s">
        <v>46</v>
      </c>
      <c r="O104" t="str">
        <f t="shared" si="6"/>
        <v>Child</v>
      </c>
      <c r="P104">
        <f t="shared" si="7"/>
        <v>2024</v>
      </c>
      <c r="Q104" t="str">
        <f t="shared" si="8"/>
        <v>Sep</v>
      </c>
      <c r="R104">
        <f t="shared" si="9"/>
        <v>2024</v>
      </c>
      <c r="S104" t="str">
        <f t="shared" si="10"/>
        <v>Sep</v>
      </c>
    </row>
    <row r="105" spans="1:19" x14ac:dyDescent="0.3">
      <c r="A105" t="s">
        <v>328</v>
      </c>
      <c r="B105" t="s">
        <v>173</v>
      </c>
      <c r="C105" t="s">
        <v>21</v>
      </c>
      <c r="D105">
        <v>70</v>
      </c>
      <c r="E105" t="s">
        <v>33</v>
      </c>
      <c r="F105" t="s">
        <v>80</v>
      </c>
      <c r="G105" t="s">
        <v>41</v>
      </c>
      <c r="H105" s="3" t="s">
        <v>329</v>
      </c>
      <c r="I105" s="3" t="s">
        <v>330</v>
      </c>
      <c r="J105" t="s">
        <v>27</v>
      </c>
      <c r="K105">
        <v>9329</v>
      </c>
      <c r="L105" t="s">
        <v>28</v>
      </c>
      <c r="M105">
        <v>3</v>
      </c>
      <c r="N105" t="s">
        <v>77</v>
      </c>
      <c r="O105" t="str">
        <f t="shared" si="6"/>
        <v>Senior</v>
      </c>
      <c r="P105">
        <f t="shared" si="7"/>
        <v>2024</v>
      </c>
      <c r="Q105" t="str">
        <f t="shared" si="8"/>
        <v>Apr</v>
      </c>
      <c r="R105">
        <f t="shared" si="9"/>
        <v>2024</v>
      </c>
      <c r="S105" t="str">
        <f t="shared" si="10"/>
        <v>Apr</v>
      </c>
    </row>
    <row r="106" spans="1:19" x14ac:dyDescent="0.3">
      <c r="A106" t="s">
        <v>331</v>
      </c>
      <c r="B106" t="s">
        <v>38</v>
      </c>
      <c r="C106" t="s">
        <v>32</v>
      </c>
      <c r="D106">
        <v>38</v>
      </c>
      <c r="E106" t="s">
        <v>22</v>
      </c>
      <c r="F106" t="s">
        <v>55</v>
      </c>
      <c r="G106" t="s">
        <v>62</v>
      </c>
      <c r="H106" s="3" t="s">
        <v>332</v>
      </c>
      <c r="I106" s="3" t="s">
        <v>333</v>
      </c>
      <c r="J106" t="s">
        <v>52</v>
      </c>
      <c r="K106">
        <v>74422</v>
      </c>
      <c r="L106" t="s">
        <v>45</v>
      </c>
      <c r="M106">
        <v>3</v>
      </c>
      <c r="N106" t="s">
        <v>29</v>
      </c>
      <c r="O106" t="str">
        <f t="shared" si="6"/>
        <v>Adult</v>
      </c>
      <c r="P106">
        <f t="shared" si="7"/>
        <v>2024</v>
      </c>
      <c r="Q106" t="str">
        <f t="shared" si="8"/>
        <v>Nov</v>
      </c>
      <c r="R106">
        <f t="shared" si="9"/>
        <v>2024</v>
      </c>
      <c r="S106" t="str">
        <f t="shared" si="10"/>
        <v>Nov</v>
      </c>
    </row>
    <row r="107" spans="1:19" x14ac:dyDescent="0.3">
      <c r="A107" t="s">
        <v>334</v>
      </c>
      <c r="B107" t="s">
        <v>109</v>
      </c>
      <c r="C107" t="s">
        <v>21</v>
      </c>
      <c r="D107">
        <v>46</v>
      </c>
      <c r="E107" t="s">
        <v>33</v>
      </c>
      <c r="F107" t="s">
        <v>68</v>
      </c>
      <c r="G107" t="s">
        <v>62</v>
      </c>
      <c r="H107" s="3" t="s">
        <v>335</v>
      </c>
      <c r="I107" s="3" t="s">
        <v>69</v>
      </c>
      <c r="J107" t="s">
        <v>27</v>
      </c>
      <c r="K107">
        <v>47010</v>
      </c>
      <c r="L107" t="s">
        <v>58</v>
      </c>
      <c r="M107">
        <v>9</v>
      </c>
      <c r="N107" t="s">
        <v>77</v>
      </c>
      <c r="O107" t="str">
        <f t="shared" si="6"/>
        <v>Adult</v>
      </c>
      <c r="P107">
        <f t="shared" si="7"/>
        <v>2024</v>
      </c>
      <c r="Q107" t="str">
        <f t="shared" si="8"/>
        <v>Apr</v>
      </c>
      <c r="R107">
        <f t="shared" si="9"/>
        <v>2024</v>
      </c>
      <c r="S107" t="str">
        <f t="shared" si="10"/>
        <v>Apr</v>
      </c>
    </row>
    <row r="108" spans="1:19" x14ac:dyDescent="0.3">
      <c r="A108" t="s">
        <v>336</v>
      </c>
      <c r="B108" t="s">
        <v>179</v>
      </c>
      <c r="C108" t="s">
        <v>32</v>
      </c>
      <c r="D108">
        <v>56</v>
      </c>
      <c r="E108" t="s">
        <v>49</v>
      </c>
      <c r="F108" t="s">
        <v>61</v>
      </c>
      <c r="G108" t="s">
        <v>41</v>
      </c>
      <c r="H108" s="3" t="s">
        <v>337</v>
      </c>
      <c r="I108" s="3" t="s">
        <v>198</v>
      </c>
      <c r="J108" t="s">
        <v>71</v>
      </c>
      <c r="K108">
        <v>45189</v>
      </c>
      <c r="L108" t="s">
        <v>58</v>
      </c>
      <c r="M108">
        <v>9</v>
      </c>
      <c r="N108" t="s">
        <v>77</v>
      </c>
      <c r="O108" t="str">
        <f t="shared" si="6"/>
        <v>Adult</v>
      </c>
      <c r="P108">
        <f t="shared" si="7"/>
        <v>2024</v>
      </c>
      <c r="Q108" t="str">
        <f t="shared" si="8"/>
        <v>Dec</v>
      </c>
      <c r="R108">
        <f t="shared" si="9"/>
        <v>2024</v>
      </c>
      <c r="S108" t="str">
        <f t="shared" si="10"/>
        <v>Dec</v>
      </c>
    </row>
    <row r="109" spans="1:19" x14ac:dyDescent="0.3">
      <c r="A109" t="s">
        <v>338</v>
      </c>
      <c r="B109" t="s">
        <v>129</v>
      </c>
      <c r="C109" t="s">
        <v>32</v>
      </c>
      <c r="D109">
        <v>56</v>
      </c>
      <c r="E109" t="s">
        <v>33</v>
      </c>
      <c r="F109" t="s">
        <v>110</v>
      </c>
      <c r="G109" t="s">
        <v>24</v>
      </c>
      <c r="H109" s="3" t="s">
        <v>287</v>
      </c>
      <c r="I109" s="3" t="s">
        <v>339</v>
      </c>
      <c r="J109" t="s">
        <v>65</v>
      </c>
      <c r="K109">
        <v>76044</v>
      </c>
      <c r="L109" t="s">
        <v>58</v>
      </c>
      <c r="M109">
        <v>7</v>
      </c>
      <c r="N109" t="s">
        <v>29</v>
      </c>
      <c r="O109" t="str">
        <f t="shared" si="6"/>
        <v>Adult</v>
      </c>
      <c r="P109">
        <f t="shared" si="7"/>
        <v>2024</v>
      </c>
      <c r="Q109" t="str">
        <f t="shared" si="8"/>
        <v>Mar</v>
      </c>
      <c r="R109">
        <f t="shared" si="9"/>
        <v>2024</v>
      </c>
      <c r="S109" t="str">
        <f t="shared" si="10"/>
        <v>Mar</v>
      </c>
    </row>
    <row r="110" spans="1:19" x14ac:dyDescent="0.3">
      <c r="A110" t="s">
        <v>340</v>
      </c>
      <c r="B110" t="s">
        <v>140</v>
      </c>
      <c r="C110" t="s">
        <v>32</v>
      </c>
      <c r="D110">
        <v>59</v>
      </c>
      <c r="E110" t="s">
        <v>49</v>
      </c>
      <c r="F110" t="s">
        <v>110</v>
      </c>
      <c r="G110" t="s">
        <v>41</v>
      </c>
      <c r="H110" s="3" t="s">
        <v>341</v>
      </c>
      <c r="I110" s="3" t="s">
        <v>220</v>
      </c>
      <c r="J110" t="s">
        <v>52</v>
      </c>
      <c r="K110">
        <v>79190</v>
      </c>
      <c r="L110" t="s">
        <v>45</v>
      </c>
      <c r="M110">
        <v>3</v>
      </c>
      <c r="N110" t="s">
        <v>77</v>
      </c>
      <c r="O110" t="str">
        <f t="shared" si="6"/>
        <v>Adult</v>
      </c>
      <c r="P110">
        <f t="shared" si="7"/>
        <v>2024</v>
      </c>
      <c r="Q110" t="str">
        <f t="shared" si="8"/>
        <v>Dec</v>
      </c>
      <c r="R110">
        <f t="shared" si="9"/>
        <v>2024</v>
      </c>
      <c r="S110" t="str">
        <f t="shared" si="10"/>
        <v>Dec</v>
      </c>
    </row>
    <row r="111" spans="1:19" x14ac:dyDescent="0.3">
      <c r="A111" t="s">
        <v>342</v>
      </c>
      <c r="B111" t="s">
        <v>166</v>
      </c>
      <c r="C111" t="s">
        <v>21</v>
      </c>
      <c r="D111">
        <v>70</v>
      </c>
      <c r="E111" t="s">
        <v>49</v>
      </c>
      <c r="F111" t="s">
        <v>40</v>
      </c>
      <c r="G111" t="s">
        <v>88</v>
      </c>
      <c r="H111" s="3" t="s">
        <v>324</v>
      </c>
      <c r="I111" s="3" t="s">
        <v>343</v>
      </c>
      <c r="J111" t="s">
        <v>44</v>
      </c>
      <c r="K111">
        <v>53325</v>
      </c>
      <c r="L111" t="s">
        <v>28</v>
      </c>
      <c r="M111">
        <v>1</v>
      </c>
      <c r="N111" t="s">
        <v>77</v>
      </c>
      <c r="O111" t="str">
        <f t="shared" si="6"/>
        <v>Senior</v>
      </c>
      <c r="P111">
        <f t="shared" si="7"/>
        <v>2024</v>
      </c>
      <c r="Q111" t="str">
        <f t="shared" si="8"/>
        <v>Mar</v>
      </c>
      <c r="R111">
        <f t="shared" si="9"/>
        <v>2024</v>
      </c>
      <c r="S111" t="str">
        <f t="shared" si="10"/>
        <v>Mar</v>
      </c>
    </row>
    <row r="112" spans="1:19" x14ac:dyDescent="0.3">
      <c r="A112" t="s">
        <v>344</v>
      </c>
      <c r="B112" t="s">
        <v>255</v>
      </c>
      <c r="C112" t="s">
        <v>21</v>
      </c>
      <c r="D112">
        <v>18</v>
      </c>
      <c r="E112" t="s">
        <v>49</v>
      </c>
      <c r="F112" t="s">
        <v>68</v>
      </c>
      <c r="G112" t="s">
        <v>24</v>
      </c>
      <c r="H112" s="3" t="s">
        <v>345</v>
      </c>
      <c r="I112" s="3" t="s">
        <v>346</v>
      </c>
      <c r="J112" t="s">
        <v>65</v>
      </c>
      <c r="K112">
        <v>40998</v>
      </c>
      <c r="L112" t="s">
        <v>28</v>
      </c>
      <c r="M112">
        <v>3</v>
      </c>
      <c r="N112" t="s">
        <v>29</v>
      </c>
      <c r="O112" t="str">
        <f t="shared" si="6"/>
        <v>Adult</v>
      </c>
      <c r="P112">
        <f t="shared" si="7"/>
        <v>2024</v>
      </c>
      <c r="Q112" t="str">
        <f t="shared" si="8"/>
        <v>Mar</v>
      </c>
      <c r="R112">
        <f t="shared" si="9"/>
        <v>2024</v>
      </c>
      <c r="S112" t="str">
        <f t="shared" si="10"/>
        <v>Mar</v>
      </c>
    </row>
    <row r="113" spans="1:19" x14ac:dyDescent="0.3">
      <c r="A113" t="s">
        <v>347</v>
      </c>
      <c r="B113" t="s">
        <v>48</v>
      </c>
      <c r="C113" t="s">
        <v>32</v>
      </c>
      <c r="D113">
        <v>7</v>
      </c>
      <c r="E113" t="s">
        <v>39</v>
      </c>
      <c r="F113" t="s">
        <v>40</v>
      </c>
      <c r="G113" t="s">
        <v>88</v>
      </c>
      <c r="H113" s="3" t="s">
        <v>301</v>
      </c>
      <c r="I113" s="3" t="s">
        <v>308</v>
      </c>
      <c r="J113" t="s">
        <v>65</v>
      </c>
      <c r="K113">
        <v>35028</v>
      </c>
      <c r="L113" t="s">
        <v>45</v>
      </c>
      <c r="M113">
        <v>9</v>
      </c>
      <c r="N113" t="s">
        <v>29</v>
      </c>
      <c r="O113" t="str">
        <f t="shared" si="6"/>
        <v>Child</v>
      </c>
      <c r="P113">
        <f t="shared" si="7"/>
        <v>2024</v>
      </c>
      <c r="Q113" t="str">
        <f t="shared" si="8"/>
        <v>Mar</v>
      </c>
      <c r="R113">
        <f t="shared" si="9"/>
        <v>2024</v>
      </c>
      <c r="S113" t="str">
        <f t="shared" si="10"/>
        <v>Mar</v>
      </c>
    </row>
    <row r="114" spans="1:19" x14ac:dyDescent="0.3">
      <c r="A114" t="s">
        <v>348</v>
      </c>
      <c r="B114" t="s">
        <v>140</v>
      </c>
      <c r="C114" t="s">
        <v>21</v>
      </c>
      <c r="D114">
        <v>76</v>
      </c>
      <c r="E114" t="s">
        <v>22</v>
      </c>
      <c r="F114" t="s">
        <v>80</v>
      </c>
      <c r="G114" t="s">
        <v>88</v>
      </c>
      <c r="H114" s="3" t="s">
        <v>349</v>
      </c>
      <c r="I114" s="3" t="s">
        <v>181</v>
      </c>
      <c r="J114" t="s">
        <v>103</v>
      </c>
      <c r="K114">
        <v>83661</v>
      </c>
      <c r="L114" t="s">
        <v>28</v>
      </c>
      <c r="M114">
        <v>9</v>
      </c>
      <c r="N114" t="s">
        <v>46</v>
      </c>
      <c r="O114" t="str">
        <f t="shared" si="6"/>
        <v>Senior</v>
      </c>
      <c r="P114">
        <f t="shared" si="7"/>
        <v>2024</v>
      </c>
      <c r="Q114" t="str">
        <f t="shared" si="8"/>
        <v>Jan</v>
      </c>
      <c r="R114">
        <f t="shared" si="9"/>
        <v>2024</v>
      </c>
      <c r="S114" t="str">
        <f t="shared" si="10"/>
        <v>Jan</v>
      </c>
    </row>
    <row r="115" spans="1:19" x14ac:dyDescent="0.3">
      <c r="A115" t="s">
        <v>350</v>
      </c>
      <c r="B115" t="s">
        <v>179</v>
      </c>
      <c r="C115" t="s">
        <v>21</v>
      </c>
      <c r="D115">
        <v>70</v>
      </c>
      <c r="E115" t="s">
        <v>49</v>
      </c>
      <c r="F115" t="s">
        <v>61</v>
      </c>
      <c r="G115" t="s">
        <v>62</v>
      </c>
      <c r="H115" s="3" t="s">
        <v>351</v>
      </c>
      <c r="I115" s="3" t="s">
        <v>316</v>
      </c>
      <c r="J115" t="s">
        <v>27</v>
      </c>
      <c r="K115">
        <v>77173</v>
      </c>
      <c r="L115" t="s">
        <v>28</v>
      </c>
      <c r="M115">
        <v>2</v>
      </c>
      <c r="N115" t="s">
        <v>77</v>
      </c>
      <c r="O115" t="str">
        <f t="shared" si="6"/>
        <v>Senior</v>
      </c>
      <c r="P115">
        <f t="shared" si="7"/>
        <v>2024</v>
      </c>
      <c r="Q115" t="str">
        <f t="shared" si="8"/>
        <v>Nov</v>
      </c>
      <c r="R115">
        <f t="shared" si="9"/>
        <v>2024</v>
      </c>
      <c r="S115" t="str">
        <f t="shared" si="10"/>
        <v>Oct</v>
      </c>
    </row>
    <row r="116" spans="1:19" x14ac:dyDescent="0.3">
      <c r="A116" t="s">
        <v>352</v>
      </c>
      <c r="B116" t="s">
        <v>38</v>
      </c>
      <c r="C116" t="s">
        <v>21</v>
      </c>
      <c r="D116">
        <v>41</v>
      </c>
      <c r="E116" t="s">
        <v>74</v>
      </c>
      <c r="F116" t="s">
        <v>61</v>
      </c>
      <c r="G116" t="s">
        <v>41</v>
      </c>
      <c r="H116" s="3" t="s">
        <v>353</v>
      </c>
      <c r="I116" s="3" t="s">
        <v>354</v>
      </c>
      <c r="J116" t="s">
        <v>65</v>
      </c>
      <c r="K116">
        <v>13037</v>
      </c>
      <c r="L116" t="s">
        <v>45</v>
      </c>
      <c r="M116">
        <v>9</v>
      </c>
      <c r="N116" t="s">
        <v>29</v>
      </c>
      <c r="O116" t="str">
        <f t="shared" si="6"/>
        <v>Adult</v>
      </c>
      <c r="P116">
        <f t="shared" si="7"/>
        <v>2024</v>
      </c>
      <c r="Q116" t="str">
        <f t="shared" si="8"/>
        <v>Nov</v>
      </c>
      <c r="R116">
        <f t="shared" si="9"/>
        <v>2024</v>
      </c>
      <c r="S116" t="str">
        <f t="shared" si="10"/>
        <v>Oct</v>
      </c>
    </row>
    <row r="117" spans="1:19" x14ac:dyDescent="0.3">
      <c r="A117" t="s">
        <v>355</v>
      </c>
      <c r="B117" t="s">
        <v>79</v>
      </c>
      <c r="C117" t="s">
        <v>32</v>
      </c>
      <c r="D117">
        <v>69</v>
      </c>
      <c r="E117" t="s">
        <v>74</v>
      </c>
      <c r="F117" t="s">
        <v>68</v>
      </c>
      <c r="G117" t="s">
        <v>88</v>
      </c>
      <c r="H117" s="3" t="s">
        <v>356</v>
      </c>
      <c r="I117" s="3" t="s">
        <v>357</v>
      </c>
      <c r="J117" t="s">
        <v>65</v>
      </c>
      <c r="K117">
        <v>75372</v>
      </c>
      <c r="L117" t="s">
        <v>45</v>
      </c>
      <c r="M117">
        <v>1</v>
      </c>
      <c r="N117" t="s">
        <v>77</v>
      </c>
      <c r="O117" t="str">
        <f t="shared" si="6"/>
        <v>Senior</v>
      </c>
      <c r="P117">
        <f t="shared" si="7"/>
        <v>2024</v>
      </c>
      <c r="Q117" t="str">
        <f t="shared" si="8"/>
        <v>Jun</v>
      </c>
      <c r="R117">
        <f t="shared" si="9"/>
        <v>2024</v>
      </c>
      <c r="S117" t="str">
        <f t="shared" si="10"/>
        <v>Jun</v>
      </c>
    </row>
    <row r="118" spans="1:19" x14ac:dyDescent="0.3">
      <c r="A118" t="s">
        <v>358</v>
      </c>
      <c r="B118" t="s">
        <v>140</v>
      </c>
      <c r="C118" t="s">
        <v>32</v>
      </c>
      <c r="D118">
        <v>84</v>
      </c>
      <c r="E118" t="s">
        <v>54</v>
      </c>
      <c r="F118" t="s">
        <v>23</v>
      </c>
      <c r="G118" t="s">
        <v>81</v>
      </c>
      <c r="H118" s="3" t="s">
        <v>359</v>
      </c>
      <c r="I118" s="3" t="s">
        <v>200</v>
      </c>
      <c r="J118" t="s">
        <v>36</v>
      </c>
      <c r="K118">
        <v>12131</v>
      </c>
      <c r="L118" t="s">
        <v>58</v>
      </c>
      <c r="M118">
        <v>6</v>
      </c>
      <c r="N118" t="s">
        <v>46</v>
      </c>
      <c r="O118" t="str">
        <f t="shared" si="6"/>
        <v>Senior</v>
      </c>
      <c r="P118">
        <f t="shared" si="7"/>
        <v>2024</v>
      </c>
      <c r="Q118" t="str">
        <f t="shared" si="8"/>
        <v>Dec</v>
      </c>
      <c r="R118">
        <f t="shared" si="9"/>
        <v>2024</v>
      </c>
      <c r="S118" t="str">
        <f t="shared" si="10"/>
        <v>Dec</v>
      </c>
    </row>
    <row r="119" spans="1:19" x14ac:dyDescent="0.3">
      <c r="A119" t="s">
        <v>360</v>
      </c>
      <c r="B119" t="s">
        <v>101</v>
      </c>
      <c r="C119" t="s">
        <v>32</v>
      </c>
      <c r="D119">
        <v>9</v>
      </c>
      <c r="E119" t="s">
        <v>74</v>
      </c>
      <c r="F119" t="s">
        <v>40</v>
      </c>
      <c r="G119" t="s">
        <v>41</v>
      </c>
      <c r="H119" s="3" t="s">
        <v>361</v>
      </c>
      <c r="I119" s="3" t="s">
        <v>362</v>
      </c>
      <c r="J119" t="s">
        <v>103</v>
      </c>
      <c r="K119">
        <v>83289</v>
      </c>
      <c r="L119" t="s">
        <v>58</v>
      </c>
      <c r="M119">
        <v>4</v>
      </c>
      <c r="N119" t="s">
        <v>46</v>
      </c>
      <c r="O119" t="str">
        <f t="shared" si="6"/>
        <v>Child</v>
      </c>
      <c r="P119">
        <f t="shared" si="7"/>
        <v>2024</v>
      </c>
      <c r="Q119" t="str">
        <f t="shared" si="8"/>
        <v>Sep</v>
      </c>
      <c r="R119">
        <f t="shared" si="9"/>
        <v>2024</v>
      </c>
      <c r="S119" t="str">
        <f t="shared" si="10"/>
        <v>Sep</v>
      </c>
    </row>
    <row r="120" spans="1:19" x14ac:dyDescent="0.3">
      <c r="A120" t="s">
        <v>363</v>
      </c>
      <c r="B120" t="s">
        <v>73</v>
      </c>
      <c r="C120" t="s">
        <v>32</v>
      </c>
      <c r="D120">
        <v>62</v>
      </c>
      <c r="E120" t="s">
        <v>39</v>
      </c>
      <c r="F120" t="s">
        <v>40</v>
      </c>
      <c r="G120" t="s">
        <v>88</v>
      </c>
      <c r="H120" s="3" t="s">
        <v>364</v>
      </c>
      <c r="I120" s="3" t="s">
        <v>365</v>
      </c>
      <c r="J120" t="s">
        <v>71</v>
      </c>
      <c r="K120">
        <v>20117</v>
      </c>
      <c r="L120" t="s">
        <v>28</v>
      </c>
      <c r="M120">
        <v>5</v>
      </c>
      <c r="N120" t="s">
        <v>29</v>
      </c>
      <c r="O120" t="str">
        <f t="shared" si="6"/>
        <v>Senior</v>
      </c>
      <c r="P120">
        <f t="shared" si="7"/>
        <v>2024</v>
      </c>
      <c r="Q120" t="str">
        <f t="shared" si="8"/>
        <v>Jul</v>
      </c>
      <c r="R120">
        <f t="shared" si="9"/>
        <v>2024</v>
      </c>
      <c r="S120" t="str">
        <f t="shared" si="10"/>
        <v>Jul</v>
      </c>
    </row>
    <row r="121" spans="1:19" x14ac:dyDescent="0.3">
      <c r="A121" t="s">
        <v>366</v>
      </c>
      <c r="B121" t="s">
        <v>173</v>
      </c>
      <c r="C121" t="s">
        <v>32</v>
      </c>
      <c r="D121">
        <v>46</v>
      </c>
      <c r="E121" t="s">
        <v>33</v>
      </c>
      <c r="F121" t="s">
        <v>61</v>
      </c>
      <c r="G121" t="s">
        <v>62</v>
      </c>
      <c r="H121" s="3" t="s">
        <v>282</v>
      </c>
      <c r="I121" s="3" t="s">
        <v>367</v>
      </c>
      <c r="J121" t="s">
        <v>52</v>
      </c>
      <c r="K121">
        <v>67042</v>
      </c>
      <c r="L121" t="s">
        <v>58</v>
      </c>
      <c r="M121">
        <v>10</v>
      </c>
      <c r="N121" t="s">
        <v>29</v>
      </c>
      <c r="O121" t="str">
        <f t="shared" si="6"/>
        <v>Adult</v>
      </c>
      <c r="P121">
        <f t="shared" si="7"/>
        <v>2024</v>
      </c>
      <c r="Q121" t="str">
        <f t="shared" si="8"/>
        <v>Dec</v>
      </c>
      <c r="R121">
        <f t="shared" si="9"/>
        <v>2024</v>
      </c>
      <c r="S121" t="str">
        <f t="shared" si="10"/>
        <v>Dec</v>
      </c>
    </row>
    <row r="122" spans="1:19" x14ac:dyDescent="0.3">
      <c r="A122" t="s">
        <v>368</v>
      </c>
      <c r="B122" t="s">
        <v>31</v>
      </c>
      <c r="C122" t="s">
        <v>32</v>
      </c>
      <c r="D122">
        <v>78</v>
      </c>
      <c r="E122" t="s">
        <v>33</v>
      </c>
      <c r="F122" t="s">
        <v>110</v>
      </c>
      <c r="G122" t="s">
        <v>24</v>
      </c>
      <c r="H122" s="3" t="s">
        <v>369</v>
      </c>
      <c r="I122" s="3" t="s">
        <v>370</v>
      </c>
      <c r="J122" t="s">
        <v>36</v>
      </c>
      <c r="K122">
        <v>49268</v>
      </c>
      <c r="L122" t="s">
        <v>45</v>
      </c>
      <c r="M122">
        <v>5</v>
      </c>
      <c r="N122" t="s">
        <v>29</v>
      </c>
      <c r="O122" t="str">
        <f t="shared" si="6"/>
        <v>Senior</v>
      </c>
      <c r="P122">
        <f t="shared" si="7"/>
        <v>2024</v>
      </c>
      <c r="Q122" t="str">
        <f t="shared" si="8"/>
        <v>Jul</v>
      </c>
      <c r="R122">
        <f t="shared" si="9"/>
        <v>2024</v>
      </c>
      <c r="S122" t="str">
        <f t="shared" si="10"/>
        <v>Jun</v>
      </c>
    </row>
    <row r="123" spans="1:19" x14ac:dyDescent="0.3">
      <c r="A123" t="s">
        <v>371</v>
      </c>
      <c r="B123" t="s">
        <v>255</v>
      </c>
      <c r="C123" t="s">
        <v>21</v>
      </c>
      <c r="D123">
        <v>48</v>
      </c>
      <c r="E123" t="s">
        <v>60</v>
      </c>
      <c r="F123" t="s">
        <v>55</v>
      </c>
      <c r="G123" t="s">
        <v>62</v>
      </c>
      <c r="H123" s="3" t="s">
        <v>123</v>
      </c>
      <c r="I123" s="3" t="s">
        <v>124</v>
      </c>
      <c r="J123" t="s">
        <v>27</v>
      </c>
      <c r="K123">
        <v>10836</v>
      </c>
      <c r="L123" t="s">
        <v>45</v>
      </c>
      <c r="M123">
        <v>8</v>
      </c>
      <c r="N123" t="s">
        <v>29</v>
      </c>
      <c r="O123" t="str">
        <f t="shared" si="6"/>
        <v>Adult</v>
      </c>
      <c r="P123">
        <f t="shared" si="7"/>
        <v>2024</v>
      </c>
      <c r="Q123" t="str">
        <f t="shared" si="8"/>
        <v>Apr</v>
      </c>
      <c r="R123">
        <f t="shared" si="9"/>
        <v>2024</v>
      </c>
      <c r="S123" t="str">
        <f t="shared" si="10"/>
        <v>Mar</v>
      </c>
    </row>
    <row r="124" spans="1:19" x14ac:dyDescent="0.3">
      <c r="A124" t="s">
        <v>372</v>
      </c>
      <c r="B124" t="s">
        <v>38</v>
      </c>
      <c r="C124" t="s">
        <v>32</v>
      </c>
      <c r="D124">
        <v>73</v>
      </c>
      <c r="E124" t="s">
        <v>60</v>
      </c>
      <c r="F124" t="s">
        <v>55</v>
      </c>
      <c r="G124" t="s">
        <v>62</v>
      </c>
      <c r="H124" s="3" t="s">
        <v>373</v>
      </c>
      <c r="I124" s="3" t="s">
        <v>374</v>
      </c>
      <c r="J124" t="s">
        <v>65</v>
      </c>
      <c r="K124">
        <v>73595</v>
      </c>
      <c r="L124" t="s">
        <v>28</v>
      </c>
      <c r="M124">
        <v>2</v>
      </c>
      <c r="N124" t="s">
        <v>77</v>
      </c>
      <c r="O124" t="str">
        <f t="shared" si="6"/>
        <v>Senior</v>
      </c>
      <c r="P124">
        <f t="shared" si="7"/>
        <v>2024</v>
      </c>
      <c r="Q124" t="str">
        <f t="shared" si="8"/>
        <v>Jan</v>
      </c>
      <c r="R124">
        <f t="shared" si="9"/>
        <v>2024</v>
      </c>
      <c r="S124" t="str">
        <f t="shared" si="10"/>
        <v>Jan</v>
      </c>
    </row>
    <row r="125" spans="1:19" x14ac:dyDescent="0.3">
      <c r="A125" t="s">
        <v>375</v>
      </c>
      <c r="B125" t="s">
        <v>144</v>
      </c>
      <c r="C125" t="s">
        <v>32</v>
      </c>
      <c r="D125">
        <v>73</v>
      </c>
      <c r="E125" t="s">
        <v>33</v>
      </c>
      <c r="F125" t="s">
        <v>55</v>
      </c>
      <c r="G125" t="s">
        <v>24</v>
      </c>
      <c r="H125" s="3" t="s">
        <v>141</v>
      </c>
      <c r="I125" s="3" t="s">
        <v>376</v>
      </c>
      <c r="J125" t="s">
        <v>52</v>
      </c>
      <c r="K125">
        <v>95525</v>
      </c>
      <c r="L125" t="s">
        <v>58</v>
      </c>
      <c r="M125">
        <v>8</v>
      </c>
      <c r="N125" t="s">
        <v>29</v>
      </c>
      <c r="O125" t="str">
        <f t="shared" si="6"/>
        <v>Senior</v>
      </c>
      <c r="P125">
        <f t="shared" si="7"/>
        <v>2024</v>
      </c>
      <c r="Q125" t="str">
        <f t="shared" si="8"/>
        <v>Jun</v>
      </c>
      <c r="R125">
        <f t="shared" si="9"/>
        <v>2024</v>
      </c>
      <c r="S125" t="str">
        <f t="shared" si="10"/>
        <v>May</v>
      </c>
    </row>
    <row r="126" spans="1:19" x14ac:dyDescent="0.3">
      <c r="A126" t="s">
        <v>377</v>
      </c>
      <c r="B126" t="s">
        <v>105</v>
      </c>
      <c r="C126" t="s">
        <v>32</v>
      </c>
      <c r="D126">
        <v>68</v>
      </c>
      <c r="E126" t="s">
        <v>60</v>
      </c>
      <c r="F126" t="s">
        <v>40</v>
      </c>
      <c r="G126" t="s">
        <v>24</v>
      </c>
      <c r="H126" s="3" t="s">
        <v>329</v>
      </c>
      <c r="I126" s="3" t="s">
        <v>378</v>
      </c>
      <c r="J126" t="s">
        <v>103</v>
      </c>
      <c r="K126">
        <v>9859</v>
      </c>
      <c r="L126" t="s">
        <v>28</v>
      </c>
      <c r="M126">
        <v>5</v>
      </c>
      <c r="N126" t="s">
        <v>77</v>
      </c>
      <c r="O126" t="str">
        <f t="shared" si="6"/>
        <v>Senior</v>
      </c>
      <c r="P126">
        <f t="shared" si="7"/>
        <v>2024</v>
      </c>
      <c r="Q126" t="str">
        <f t="shared" si="8"/>
        <v>Apr</v>
      </c>
      <c r="R126">
        <f t="shared" si="9"/>
        <v>2024</v>
      </c>
      <c r="S126" t="str">
        <f t="shared" si="10"/>
        <v>Apr</v>
      </c>
    </row>
    <row r="127" spans="1:19" x14ac:dyDescent="0.3">
      <c r="A127" t="s">
        <v>379</v>
      </c>
      <c r="B127" t="s">
        <v>153</v>
      </c>
      <c r="C127" t="s">
        <v>21</v>
      </c>
      <c r="D127">
        <v>82</v>
      </c>
      <c r="E127" t="s">
        <v>39</v>
      </c>
      <c r="F127" t="s">
        <v>55</v>
      </c>
      <c r="G127" t="s">
        <v>24</v>
      </c>
      <c r="H127" s="3" t="s">
        <v>380</v>
      </c>
      <c r="I127" s="3" t="s">
        <v>280</v>
      </c>
      <c r="J127" t="s">
        <v>52</v>
      </c>
      <c r="K127">
        <v>74330</v>
      </c>
      <c r="L127" t="s">
        <v>45</v>
      </c>
      <c r="M127">
        <v>8</v>
      </c>
      <c r="N127" t="s">
        <v>46</v>
      </c>
      <c r="O127" t="str">
        <f t="shared" si="6"/>
        <v>Senior</v>
      </c>
      <c r="P127">
        <f t="shared" si="7"/>
        <v>2024</v>
      </c>
      <c r="Q127" t="str">
        <f t="shared" si="8"/>
        <v>Apr</v>
      </c>
      <c r="R127">
        <f t="shared" si="9"/>
        <v>2024</v>
      </c>
      <c r="S127" t="str">
        <f t="shared" si="10"/>
        <v>Apr</v>
      </c>
    </row>
    <row r="128" spans="1:19" x14ac:dyDescent="0.3">
      <c r="A128" t="s">
        <v>381</v>
      </c>
      <c r="B128" t="s">
        <v>31</v>
      </c>
      <c r="C128" t="s">
        <v>21</v>
      </c>
      <c r="D128">
        <v>76</v>
      </c>
      <c r="E128" t="s">
        <v>54</v>
      </c>
      <c r="F128" t="s">
        <v>110</v>
      </c>
      <c r="G128" t="s">
        <v>24</v>
      </c>
      <c r="H128" s="3" t="s">
        <v>382</v>
      </c>
      <c r="I128" s="3" t="s">
        <v>383</v>
      </c>
      <c r="J128" t="s">
        <v>65</v>
      </c>
      <c r="K128">
        <v>60176</v>
      </c>
      <c r="L128" t="s">
        <v>45</v>
      </c>
      <c r="M128">
        <v>6</v>
      </c>
      <c r="N128" t="s">
        <v>29</v>
      </c>
      <c r="O128" t="str">
        <f t="shared" si="6"/>
        <v>Senior</v>
      </c>
      <c r="P128">
        <f t="shared" si="7"/>
        <v>2024</v>
      </c>
      <c r="Q128" t="str">
        <f t="shared" si="8"/>
        <v>Nov</v>
      </c>
      <c r="R128">
        <f t="shared" si="9"/>
        <v>2024</v>
      </c>
      <c r="S128" t="str">
        <f t="shared" si="10"/>
        <v>Nov</v>
      </c>
    </row>
    <row r="129" spans="1:19" x14ac:dyDescent="0.3">
      <c r="A129" t="s">
        <v>384</v>
      </c>
      <c r="B129" t="s">
        <v>109</v>
      </c>
      <c r="C129" t="s">
        <v>32</v>
      </c>
      <c r="D129">
        <v>12</v>
      </c>
      <c r="E129" t="s">
        <v>22</v>
      </c>
      <c r="F129" t="s">
        <v>55</v>
      </c>
      <c r="G129" t="s">
        <v>111</v>
      </c>
      <c r="H129" s="3" t="s">
        <v>385</v>
      </c>
      <c r="I129" s="3" t="s">
        <v>386</v>
      </c>
      <c r="J129" t="s">
        <v>103</v>
      </c>
      <c r="K129">
        <v>19425</v>
      </c>
      <c r="L129" t="s">
        <v>58</v>
      </c>
      <c r="M129">
        <v>9</v>
      </c>
      <c r="N129" t="s">
        <v>77</v>
      </c>
      <c r="O129" t="str">
        <f t="shared" si="6"/>
        <v>Child</v>
      </c>
      <c r="P129">
        <f t="shared" si="7"/>
        <v>2024</v>
      </c>
      <c r="Q129" t="str">
        <f t="shared" si="8"/>
        <v>May</v>
      </c>
      <c r="R129">
        <f t="shared" si="9"/>
        <v>2024</v>
      </c>
      <c r="S129" t="str">
        <f t="shared" si="10"/>
        <v>May</v>
      </c>
    </row>
    <row r="130" spans="1:19" x14ac:dyDescent="0.3">
      <c r="A130" t="s">
        <v>387</v>
      </c>
      <c r="B130" t="s">
        <v>79</v>
      </c>
      <c r="C130" t="s">
        <v>21</v>
      </c>
      <c r="D130">
        <v>5</v>
      </c>
      <c r="E130" t="s">
        <v>39</v>
      </c>
      <c r="F130" t="s">
        <v>80</v>
      </c>
      <c r="G130" t="s">
        <v>81</v>
      </c>
      <c r="H130" s="3" t="s">
        <v>388</v>
      </c>
      <c r="I130" s="3" t="s">
        <v>389</v>
      </c>
      <c r="J130" t="s">
        <v>71</v>
      </c>
      <c r="K130">
        <v>22801</v>
      </c>
      <c r="L130" t="s">
        <v>58</v>
      </c>
      <c r="M130">
        <v>7</v>
      </c>
      <c r="N130" t="s">
        <v>77</v>
      </c>
      <c r="O130" t="str">
        <f t="shared" si="6"/>
        <v>Child</v>
      </c>
      <c r="P130">
        <f t="shared" si="7"/>
        <v>2024</v>
      </c>
      <c r="Q130" t="str">
        <f t="shared" si="8"/>
        <v>Dec</v>
      </c>
      <c r="R130">
        <f t="shared" si="9"/>
        <v>2024</v>
      </c>
      <c r="S130" t="str">
        <f t="shared" si="10"/>
        <v>Nov</v>
      </c>
    </row>
    <row r="131" spans="1:19" x14ac:dyDescent="0.3">
      <c r="A131" t="s">
        <v>390</v>
      </c>
      <c r="B131" t="s">
        <v>48</v>
      </c>
      <c r="C131" t="s">
        <v>21</v>
      </c>
      <c r="D131">
        <v>44</v>
      </c>
      <c r="E131" t="s">
        <v>60</v>
      </c>
      <c r="F131" t="s">
        <v>68</v>
      </c>
      <c r="G131" t="s">
        <v>41</v>
      </c>
      <c r="H131" s="3" t="s">
        <v>389</v>
      </c>
      <c r="I131" s="3" t="s">
        <v>341</v>
      </c>
      <c r="J131" t="s">
        <v>27</v>
      </c>
      <c r="K131">
        <v>67222</v>
      </c>
      <c r="L131" t="s">
        <v>58</v>
      </c>
      <c r="M131">
        <v>7</v>
      </c>
      <c r="N131" t="s">
        <v>29</v>
      </c>
      <c r="O131" t="str">
        <f t="shared" ref="O131:O194" si="11">IF(D131&lt;18,"Child",IF(D131&lt;=60,"Adult","Senior"))</f>
        <v>Adult</v>
      </c>
      <c r="P131">
        <f t="shared" ref="P131:P194" si="12">YEAR(I131)</f>
        <v>2024</v>
      </c>
      <c r="Q131" t="str">
        <f t="shared" ref="Q131:Q194" si="13">TEXT(I131,"mmm")</f>
        <v>Dec</v>
      </c>
      <c r="R131">
        <f t="shared" ref="R131:R194" si="14">YEAR(H131)</f>
        <v>2024</v>
      </c>
      <c r="S131" t="str">
        <f t="shared" ref="S131:S194" si="15">TEXT(H131,"mmm")</f>
        <v>Dec</v>
      </c>
    </row>
    <row r="132" spans="1:19" x14ac:dyDescent="0.3">
      <c r="A132" t="s">
        <v>391</v>
      </c>
      <c r="B132" t="s">
        <v>48</v>
      </c>
      <c r="C132" t="s">
        <v>21</v>
      </c>
      <c r="D132">
        <v>42</v>
      </c>
      <c r="E132" t="s">
        <v>74</v>
      </c>
      <c r="F132" t="s">
        <v>80</v>
      </c>
      <c r="G132" t="s">
        <v>111</v>
      </c>
      <c r="H132" s="3" t="s">
        <v>392</v>
      </c>
      <c r="I132" s="3" t="s">
        <v>393</v>
      </c>
      <c r="J132" t="s">
        <v>65</v>
      </c>
      <c r="K132">
        <v>25177</v>
      </c>
      <c r="L132" t="s">
        <v>45</v>
      </c>
      <c r="M132">
        <v>8</v>
      </c>
      <c r="N132" t="s">
        <v>46</v>
      </c>
      <c r="O132" t="str">
        <f t="shared" si="11"/>
        <v>Adult</v>
      </c>
      <c r="P132">
        <f t="shared" si="12"/>
        <v>2024</v>
      </c>
      <c r="Q132" t="str">
        <f t="shared" si="13"/>
        <v>Feb</v>
      </c>
      <c r="R132">
        <f t="shared" si="14"/>
        <v>2024</v>
      </c>
      <c r="S132" t="str">
        <f t="shared" si="15"/>
        <v>Jan</v>
      </c>
    </row>
    <row r="133" spans="1:19" x14ac:dyDescent="0.3">
      <c r="A133" t="s">
        <v>394</v>
      </c>
      <c r="B133" t="s">
        <v>140</v>
      </c>
      <c r="C133" t="s">
        <v>32</v>
      </c>
      <c r="D133">
        <v>75</v>
      </c>
      <c r="E133" t="s">
        <v>33</v>
      </c>
      <c r="F133" t="s">
        <v>55</v>
      </c>
      <c r="G133" t="s">
        <v>81</v>
      </c>
      <c r="H133" s="3" t="s">
        <v>107</v>
      </c>
      <c r="I133" s="3" t="s">
        <v>85</v>
      </c>
      <c r="J133" t="s">
        <v>52</v>
      </c>
      <c r="K133">
        <v>77005</v>
      </c>
      <c r="L133" t="s">
        <v>58</v>
      </c>
      <c r="M133">
        <v>1</v>
      </c>
      <c r="N133" t="s">
        <v>77</v>
      </c>
      <c r="O133" t="str">
        <f t="shared" si="11"/>
        <v>Senior</v>
      </c>
      <c r="P133">
        <f t="shared" si="12"/>
        <v>2024</v>
      </c>
      <c r="Q133" t="str">
        <f t="shared" si="13"/>
        <v>Jan</v>
      </c>
      <c r="R133">
        <f t="shared" si="14"/>
        <v>2024</v>
      </c>
      <c r="S133" t="str">
        <f t="shared" si="15"/>
        <v>Jan</v>
      </c>
    </row>
    <row r="134" spans="1:19" x14ac:dyDescent="0.3">
      <c r="A134" t="s">
        <v>395</v>
      </c>
      <c r="B134" t="s">
        <v>20</v>
      </c>
      <c r="C134" t="s">
        <v>21</v>
      </c>
      <c r="D134">
        <v>41</v>
      </c>
      <c r="E134" t="s">
        <v>60</v>
      </c>
      <c r="F134" t="s">
        <v>23</v>
      </c>
      <c r="G134" t="s">
        <v>88</v>
      </c>
      <c r="H134" s="3" t="s">
        <v>330</v>
      </c>
      <c r="I134" s="3" t="s">
        <v>93</v>
      </c>
      <c r="J134" t="s">
        <v>71</v>
      </c>
      <c r="K134">
        <v>80667</v>
      </c>
      <c r="L134" t="s">
        <v>45</v>
      </c>
      <c r="M134">
        <v>10</v>
      </c>
      <c r="N134" t="s">
        <v>77</v>
      </c>
      <c r="O134" t="str">
        <f t="shared" si="11"/>
        <v>Adult</v>
      </c>
      <c r="P134">
        <f t="shared" si="12"/>
        <v>2024</v>
      </c>
      <c r="Q134" t="str">
        <f t="shared" si="13"/>
        <v>May</v>
      </c>
      <c r="R134">
        <f t="shared" si="14"/>
        <v>2024</v>
      </c>
      <c r="S134" t="str">
        <f t="shared" si="15"/>
        <v>Apr</v>
      </c>
    </row>
    <row r="135" spans="1:19" x14ac:dyDescent="0.3">
      <c r="A135" t="s">
        <v>396</v>
      </c>
      <c r="B135" t="s">
        <v>38</v>
      </c>
      <c r="C135" t="s">
        <v>21</v>
      </c>
      <c r="D135">
        <v>53</v>
      </c>
      <c r="E135" t="s">
        <v>54</v>
      </c>
      <c r="F135" t="s">
        <v>55</v>
      </c>
      <c r="G135" t="s">
        <v>62</v>
      </c>
      <c r="H135" s="3" t="s">
        <v>386</v>
      </c>
      <c r="I135" s="3" t="s">
        <v>260</v>
      </c>
      <c r="J135" t="s">
        <v>71</v>
      </c>
      <c r="K135">
        <v>96085</v>
      </c>
      <c r="L135" t="s">
        <v>28</v>
      </c>
      <c r="M135">
        <v>8</v>
      </c>
      <c r="N135" t="s">
        <v>46</v>
      </c>
      <c r="O135" t="str">
        <f t="shared" si="11"/>
        <v>Adult</v>
      </c>
      <c r="P135">
        <f t="shared" si="12"/>
        <v>2024</v>
      </c>
      <c r="Q135" t="str">
        <f t="shared" si="13"/>
        <v>May</v>
      </c>
      <c r="R135">
        <f t="shared" si="14"/>
        <v>2024</v>
      </c>
      <c r="S135" t="str">
        <f t="shared" si="15"/>
        <v>May</v>
      </c>
    </row>
    <row r="136" spans="1:19" x14ac:dyDescent="0.3">
      <c r="A136" t="s">
        <v>397</v>
      </c>
      <c r="B136" t="s">
        <v>129</v>
      </c>
      <c r="C136" t="s">
        <v>21</v>
      </c>
      <c r="D136">
        <v>52</v>
      </c>
      <c r="E136" t="s">
        <v>49</v>
      </c>
      <c r="F136" t="s">
        <v>55</v>
      </c>
      <c r="G136" t="s">
        <v>88</v>
      </c>
      <c r="H136" s="3" t="s">
        <v>359</v>
      </c>
      <c r="I136" s="3" t="s">
        <v>398</v>
      </c>
      <c r="J136" t="s">
        <v>27</v>
      </c>
      <c r="K136">
        <v>15678</v>
      </c>
      <c r="L136" t="s">
        <v>58</v>
      </c>
      <c r="M136">
        <v>8</v>
      </c>
      <c r="N136" t="s">
        <v>77</v>
      </c>
      <c r="O136" t="str">
        <f t="shared" si="11"/>
        <v>Adult</v>
      </c>
      <c r="P136">
        <f t="shared" si="12"/>
        <v>2024</v>
      </c>
      <c r="Q136" t="str">
        <f t="shared" si="13"/>
        <v>Dec</v>
      </c>
      <c r="R136">
        <f t="shared" si="14"/>
        <v>2024</v>
      </c>
      <c r="S136" t="str">
        <f t="shared" si="15"/>
        <v>Dec</v>
      </c>
    </row>
    <row r="137" spans="1:19" x14ac:dyDescent="0.3">
      <c r="A137" t="s">
        <v>399</v>
      </c>
      <c r="B137" t="s">
        <v>173</v>
      </c>
      <c r="C137" t="s">
        <v>32</v>
      </c>
      <c r="D137">
        <v>7</v>
      </c>
      <c r="E137" t="s">
        <v>33</v>
      </c>
      <c r="F137" t="s">
        <v>23</v>
      </c>
      <c r="G137" t="s">
        <v>81</v>
      </c>
      <c r="H137" s="3" t="s">
        <v>124</v>
      </c>
      <c r="I137" s="3" t="s">
        <v>400</v>
      </c>
      <c r="J137" t="s">
        <v>103</v>
      </c>
      <c r="K137">
        <v>13957</v>
      </c>
      <c r="L137" t="s">
        <v>45</v>
      </c>
      <c r="M137">
        <v>4</v>
      </c>
      <c r="N137" t="s">
        <v>46</v>
      </c>
      <c r="O137" t="str">
        <f t="shared" si="11"/>
        <v>Child</v>
      </c>
      <c r="P137">
        <f t="shared" si="12"/>
        <v>2024</v>
      </c>
      <c r="Q137" t="str">
        <f t="shared" si="13"/>
        <v>Apr</v>
      </c>
      <c r="R137">
        <f t="shared" si="14"/>
        <v>2024</v>
      </c>
      <c r="S137" t="str">
        <f t="shared" si="15"/>
        <v>Apr</v>
      </c>
    </row>
    <row r="138" spans="1:19" x14ac:dyDescent="0.3">
      <c r="A138" t="s">
        <v>401</v>
      </c>
      <c r="B138" t="s">
        <v>31</v>
      </c>
      <c r="C138" t="s">
        <v>21</v>
      </c>
      <c r="D138">
        <v>72</v>
      </c>
      <c r="E138" t="s">
        <v>60</v>
      </c>
      <c r="F138" t="s">
        <v>110</v>
      </c>
      <c r="G138" t="s">
        <v>81</v>
      </c>
      <c r="H138" s="3" t="s">
        <v>86</v>
      </c>
      <c r="I138" s="3" t="s">
        <v>34</v>
      </c>
      <c r="J138" t="s">
        <v>52</v>
      </c>
      <c r="K138">
        <v>41080</v>
      </c>
      <c r="L138" t="s">
        <v>28</v>
      </c>
      <c r="M138">
        <v>8</v>
      </c>
      <c r="N138" t="s">
        <v>46</v>
      </c>
      <c r="O138" t="str">
        <f t="shared" si="11"/>
        <v>Senior</v>
      </c>
      <c r="P138">
        <f t="shared" si="12"/>
        <v>2024</v>
      </c>
      <c r="Q138" t="str">
        <f t="shared" si="13"/>
        <v>Feb</v>
      </c>
      <c r="R138">
        <f t="shared" si="14"/>
        <v>2024</v>
      </c>
      <c r="S138" t="str">
        <f t="shared" si="15"/>
        <v>Jan</v>
      </c>
    </row>
    <row r="139" spans="1:19" x14ac:dyDescent="0.3">
      <c r="A139" t="s">
        <v>402</v>
      </c>
      <c r="B139" t="s">
        <v>144</v>
      </c>
      <c r="C139" t="s">
        <v>21</v>
      </c>
      <c r="D139">
        <v>37</v>
      </c>
      <c r="E139" t="s">
        <v>49</v>
      </c>
      <c r="F139" t="s">
        <v>23</v>
      </c>
      <c r="G139" t="s">
        <v>41</v>
      </c>
      <c r="H139" s="3" t="s">
        <v>257</v>
      </c>
      <c r="I139" s="3" t="s">
        <v>212</v>
      </c>
      <c r="J139" t="s">
        <v>36</v>
      </c>
      <c r="K139">
        <v>50156</v>
      </c>
      <c r="L139" t="s">
        <v>28</v>
      </c>
      <c r="M139">
        <v>6</v>
      </c>
      <c r="N139" t="s">
        <v>46</v>
      </c>
      <c r="O139" t="str">
        <f t="shared" si="11"/>
        <v>Adult</v>
      </c>
      <c r="P139">
        <f t="shared" si="12"/>
        <v>2024</v>
      </c>
      <c r="Q139" t="str">
        <f t="shared" si="13"/>
        <v>Dec</v>
      </c>
      <c r="R139">
        <f t="shared" si="14"/>
        <v>2024</v>
      </c>
      <c r="S139" t="str">
        <f t="shared" si="15"/>
        <v>Nov</v>
      </c>
    </row>
    <row r="140" spans="1:19" x14ac:dyDescent="0.3">
      <c r="A140" t="s">
        <v>403</v>
      </c>
      <c r="B140" t="s">
        <v>129</v>
      </c>
      <c r="C140" t="s">
        <v>32</v>
      </c>
      <c r="D140">
        <v>37</v>
      </c>
      <c r="E140" t="s">
        <v>39</v>
      </c>
      <c r="F140" t="s">
        <v>80</v>
      </c>
      <c r="G140" t="s">
        <v>24</v>
      </c>
      <c r="H140" s="3" t="s">
        <v>177</v>
      </c>
      <c r="I140" s="3" t="s">
        <v>404</v>
      </c>
      <c r="J140" t="s">
        <v>65</v>
      </c>
      <c r="K140">
        <v>43197</v>
      </c>
      <c r="L140" t="s">
        <v>58</v>
      </c>
      <c r="M140">
        <v>9</v>
      </c>
      <c r="N140" t="s">
        <v>29</v>
      </c>
      <c r="O140" t="str">
        <f t="shared" si="11"/>
        <v>Adult</v>
      </c>
      <c r="P140">
        <f t="shared" si="12"/>
        <v>2024</v>
      </c>
      <c r="Q140" t="str">
        <f t="shared" si="13"/>
        <v>Feb</v>
      </c>
      <c r="R140">
        <f t="shared" si="14"/>
        <v>2024</v>
      </c>
      <c r="S140" t="str">
        <f t="shared" si="15"/>
        <v>Feb</v>
      </c>
    </row>
    <row r="141" spans="1:19" x14ac:dyDescent="0.3">
      <c r="A141" t="s">
        <v>405</v>
      </c>
      <c r="B141" t="s">
        <v>140</v>
      </c>
      <c r="C141" t="s">
        <v>32</v>
      </c>
      <c r="D141">
        <v>1</v>
      </c>
      <c r="E141" t="s">
        <v>60</v>
      </c>
      <c r="F141" t="s">
        <v>68</v>
      </c>
      <c r="G141" t="s">
        <v>111</v>
      </c>
      <c r="H141" s="3" t="s">
        <v>406</v>
      </c>
      <c r="I141" s="3" t="s">
        <v>287</v>
      </c>
      <c r="J141" t="s">
        <v>52</v>
      </c>
      <c r="K141">
        <v>89480</v>
      </c>
      <c r="L141" t="s">
        <v>28</v>
      </c>
      <c r="M141">
        <v>9</v>
      </c>
      <c r="N141" t="s">
        <v>29</v>
      </c>
      <c r="O141" t="str">
        <f t="shared" si="11"/>
        <v>Child</v>
      </c>
      <c r="P141">
        <f t="shared" si="12"/>
        <v>2024</v>
      </c>
      <c r="Q141" t="str">
        <f t="shared" si="13"/>
        <v>Mar</v>
      </c>
      <c r="R141">
        <f t="shared" si="14"/>
        <v>2024</v>
      </c>
      <c r="S141" t="str">
        <f t="shared" si="15"/>
        <v>Mar</v>
      </c>
    </row>
    <row r="142" spans="1:19" x14ac:dyDescent="0.3">
      <c r="A142" t="s">
        <v>407</v>
      </c>
      <c r="B142" t="s">
        <v>48</v>
      </c>
      <c r="C142" t="s">
        <v>21</v>
      </c>
      <c r="D142">
        <v>47</v>
      </c>
      <c r="E142" t="s">
        <v>33</v>
      </c>
      <c r="F142" t="s">
        <v>110</v>
      </c>
      <c r="G142" t="s">
        <v>41</v>
      </c>
      <c r="H142" s="3" t="s">
        <v>123</v>
      </c>
      <c r="I142" s="3" t="s">
        <v>302</v>
      </c>
      <c r="J142" t="s">
        <v>103</v>
      </c>
      <c r="K142">
        <v>76327</v>
      </c>
      <c r="L142" t="s">
        <v>28</v>
      </c>
      <c r="M142">
        <v>2</v>
      </c>
      <c r="N142" t="s">
        <v>46</v>
      </c>
      <c r="O142" t="str">
        <f t="shared" si="11"/>
        <v>Adult</v>
      </c>
      <c r="P142">
        <f t="shared" si="12"/>
        <v>2024</v>
      </c>
      <c r="Q142" t="str">
        <f t="shared" si="13"/>
        <v>Mar</v>
      </c>
      <c r="R142">
        <f t="shared" si="14"/>
        <v>2024</v>
      </c>
      <c r="S142" t="str">
        <f t="shared" si="15"/>
        <v>Mar</v>
      </c>
    </row>
    <row r="143" spans="1:19" x14ac:dyDescent="0.3">
      <c r="A143" t="s">
        <v>408</v>
      </c>
      <c r="B143" t="s">
        <v>31</v>
      </c>
      <c r="C143" t="s">
        <v>21</v>
      </c>
      <c r="D143">
        <v>84</v>
      </c>
      <c r="E143" t="s">
        <v>22</v>
      </c>
      <c r="F143" t="s">
        <v>61</v>
      </c>
      <c r="G143" t="s">
        <v>88</v>
      </c>
      <c r="H143" s="3" t="s">
        <v>26</v>
      </c>
      <c r="I143" s="3" t="s">
        <v>168</v>
      </c>
      <c r="J143" t="s">
        <v>103</v>
      </c>
      <c r="K143">
        <v>85576</v>
      </c>
      <c r="L143" t="s">
        <v>28</v>
      </c>
      <c r="M143">
        <v>5</v>
      </c>
      <c r="N143" t="s">
        <v>77</v>
      </c>
      <c r="O143" t="str">
        <f t="shared" si="11"/>
        <v>Senior</v>
      </c>
      <c r="P143">
        <f t="shared" si="12"/>
        <v>2024</v>
      </c>
      <c r="Q143" t="str">
        <f t="shared" si="13"/>
        <v>Sep</v>
      </c>
      <c r="R143">
        <f t="shared" si="14"/>
        <v>2024</v>
      </c>
      <c r="S143" t="str">
        <f t="shared" si="15"/>
        <v>Sep</v>
      </c>
    </row>
    <row r="144" spans="1:19" x14ac:dyDescent="0.3">
      <c r="A144" t="s">
        <v>409</v>
      </c>
      <c r="B144" t="s">
        <v>79</v>
      </c>
      <c r="C144" t="s">
        <v>32</v>
      </c>
      <c r="D144">
        <v>49</v>
      </c>
      <c r="E144" t="s">
        <v>49</v>
      </c>
      <c r="F144" t="s">
        <v>80</v>
      </c>
      <c r="G144" t="s">
        <v>111</v>
      </c>
      <c r="H144" s="3" t="s">
        <v>167</v>
      </c>
      <c r="I144" s="3" t="s">
        <v>253</v>
      </c>
      <c r="J144" t="s">
        <v>27</v>
      </c>
      <c r="K144">
        <v>28169</v>
      </c>
      <c r="L144" t="s">
        <v>45</v>
      </c>
      <c r="M144">
        <v>7</v>
      </c>
      <c r="N144" t="s">
        <v>46</v>
      </c>
      <c r="O144" t="str">
        <f t="shared" si="11"/>
        <v>Adult</v>
      </c>
      <c r="P144">
        <f t="shared" si="12"/>
        <v>2024</v>
      </c>
      <c r="Q144" t="str">
        <f t="shared" si="13"/>
        <v>Sep</v>
      </c>
      <c r="R144">
        <f t="shared" si="14"/>
        <v>2024</v>
      </c>
      <c r="S144" t="str">
        <f t="shared" si="15"/>
        <v>Sep</v>
      </c>
    </row>
    <row r="145" spans="1:19" x14ac:dyDescent="0.3">
      <c r="A145" t="s">
        <v>410</v>
      </c>
      <c r="B145" t="s">
        <v>153</v>
      </c>
      <c r="C145" t="s">
        <v>32</v>
      </c>
      <c r="D145">
        <v>63</v>
      </c>
      <c r="E145" t="s">
        <v>49</v>
      </c>
      <c r="F145" t="s">
        <v>40</v>
      </c>
      <c r="G145" t="s">
        <v>111</v>
      </c>
      <c r="H145" s="3" t="s">
        <v>313</v>
      </c>
      <c r="I145" s="3" t="s">
        <v>411</v>
      </c>
      <c r="J145" t="s">
        <v>71</v>
      </c>
      <c r="K145">
        <v>36341</v>
      </c>
      <c r="L145" t="s">
        <v>45</v>
      </c>
      <c r="M145">
        <v>10</v>
      </c>
      <c r="N145" t="s">
        <v>46</v>
      </c>
      <c r="O145" t="str">
        <f t="shared" si="11"/>
        <v>Senior</v>
      </c>
      <c r="P145">
        <f t="shared" si="12"/>
        <v>2024</v>
      </c>
      <c r="Q145" t="str">
        <f t="shared" si="13"/>
        <v>Aug</v>
      </c>
      <c r="R145">
        <f t="shared" si="14"/>
        <v>2024</v>
      </c>
      <c r="S145" t="str">
        <f t="shared" si="15"/>
        <v>Aug</v>
      </c>
    </row>
    <row r="146" spans="1:19" x14ac:dyDescent="0.3">
      <c r="A146" t="s">
        <v>412</v>
      </c>
      <c r="B146" t="s">
        <v>67</v>
      </c>
      <c r="C146" t="s">
        <v>21</v>
      </c>
      <c r="D146">
        <v>81</v>
      </c>
      <c r="E146" t="s">
        <v>22</v>
      </c>
      <c r="F146" t="s">
        <v>68</v>
      </c>
      <c r="G146" t="s">
        <v>41</v>
      </c>
      <c r="H146" s="3" t="s">
        <v>195</v>
      </c>
      <c r="I146" s="3" t="s">
        <v>203</v>
      </c>
      <c r="J146" t="s">
        <v>36</v>
      </c>
      <c r="K146">
        <v>14450</v>
      </c>
      <c r="L146" t="s">
        <v>45</v>
      </c>
      <c r="M146">
        <v>4</v>
      </c>
      <c r="N146" t="s">
        <v>29</v>
      </c>
      <c r="O146" t="str">
        <f t="shared" si="11"/>
        <v>Senior</v>
      </c>
      <c r="P146">
        <f t="shared" si="12"/>
        <v>2024</v>
      </c>
      <c r="Q146" t="str">
        <f t="shared" si="13"/>
        <v>Aug</v>
      </c>
      <c r="R146">
        <f t="shared" si="14"/>
        <v>2024</v>
      </c>
      <c r="S146" t="str">
        <f t="shared" si="15"/>
        <v>Aug</v>
      </c>
    </row>
    <row r="147" spans="1:19" x14ac:dyDescent="0.3">
      <c r="A147" t="s">
        <v>413</v>
      </c>
      <c r="B147" t="s">
        <v>144</v>
      </c>
      <c r="C147" t="s">
        <v>32</v>
      </c>
      <c r="D147">
        <v>70</v>
      </c>
      <c r="E147" t="s">
        <v>33</v>
      </c>
      <c r="F147" t="s">
        <v>61</v>
      </c>
      <c r="G147" t="s">
        <v>41</v>
      </c>
      <c r="H147" s="3" t="s">
        <v>414</v>
      </c>
      <c r="I147" s="3" t="s">
        <v>229</v>
      </c>
      <c r="J147" t="s">
        <v>36</v>
      </c>
      <c r="K147">
        <v>39939</v>
      </c>
      <c r="L147" t="s">
        <v>28</v>
      </c>
      <c r="M147">
        <v>1</v>
      </c>
      <c r="N147" t="s">
        <v>29</v>
      </c>
      <c r="O147" t="str">
        <f t="shared" si="11"/>
        <v>Senior</v>
      </c>
      <c r="P147">
        <f t="shared" si="12"/>
        <v>2024</v>
      </c>
      <c r="Q147" t="str">
        <f t="shared" si="13"/>
        <v>Jun</v>
      </c>
      <c r="R147">
        <f t="shared" si="14"/>
        <v>2024</v>
      </c>
      <c r="S147" t="str">
        <f t="shared" si="15"/>
        <v>Jun</v>
      </c>
    </row>
    <row r="148" spans="1:19" x14ac:dyDescent="0.3">
      <c r="A148" t="s">
        <v>415</v>
      </c>
      <c r="B148" t="s">
        <v>105</v>
      </c>
      <c r="C148" t="s">
        <v>21</v>
      </c>
      <c r="D148">
        <v>39</v>
      </c>
      <c r="E148" t="s">
        <v>22</v>
      </c>
      <c r="F148" t="s">
        <v>61</v>
      </c>
      <c r="G148" t="s">
        <v>81</v>
      </c>
      <c r="H148" s="3" t="s">
        <v>43</v>
      </c>
      <c r="I148" s="3" t="s">
        <v>126</v>
      </c>
      <c r="J148" t="s">
        <v>44</v>
      </c>
      <c r="K148">
        <v>79702</v>
      </c>
      <c r="L148" t="s">
        <v>45</v>
      </c>
      <c r="M148">
        <v>8</v>
      </c>
      <c r="N148" t="s">
        <v>29</v>
      </c>
      <c r="O148" t="str">
        <f t="shared" si="11"/>
        <v>Adult</v>
      </c>
      <c r="P148">
        <f t="shared" si="12"/>
        <v>2024</v>
      </c>
      <c r="Q148" t="str">
        <f t="shared" si="13"/>
        <v>Oct</v>
      </c>
      <c r="R148">
        <f t="shared" si="14"/>
        <v>2024</v>
      </c>
      <c r="S148" t="str">
        <f t="shared" si="15"/>
        <v>Oct</v>
      </c>
    </row>
    <row r="149" spans="1:19" x14ac:dyDescent="0.3">
      <c r="A149" t="s">
        <v>416</v>
      </c>
      <c r="B149" t="s">
        <v>255</v>
      </c>
      <c r="C149" t="s">
        <v>21</v>
      </c>
      <c r="D149">
        <v>52</v>
      </c>
      <c r="E149" t="s">
        <v>60</v>
      </c>
      <c r="F149" t="s">
        <v>55</v>
      </c>
      <c r="G149" t="s">
        <v>24</v>
      </c>
      <c r="H149" s="3" t="s">
        <v>212</v>
      </c>
      <c r="I149" s="3" t="s">
        <v>417</v>
      </c>
      <c r="J149" t="s">
        <v>52</v>
      </c>
      <c r="K149">
        <v>85588</v>
      </c>
      <c r="L149" t="s">
        <v>28</v>
      </c>
      <c r="M149">
        <v>4</v>
      </c>
      <c r="N149" t="s">
        <v>29</v>
      </c>
      <c r="O149" t="str">
        <f t="shared" si="11"/>
        <v>Adult</v>
      </c>
      <c r="P149">
        <f t="shared" si="12"/>
        <v>2024</v>
      </c>
      <c r="Q149" t="str">
        <f t="shared" si="13"/>
        <v>Dec</v>
      </c>
      <c r="R149">
        <f t="shared" si="14"/>
        <v>2024</v>
      </c>
      <c r="S149" t="str">
        <f t="shared" si="15"/>
        <v>Dec</v>
      </c>
    </row>
    <row r="150" spans="1:19" x14ac:dyDescent="0.3">
      <c r="A150" t="s">
        <v>418</v>
      </c>
      <c r="B150" t="s">
        <v>73</v>
      </c>
      <c r="C150" t="s">
        <v>32</v>
      </c>
      <c r="D150">
        <v>48</v>
      </c>
      <c r="E150" t="s">
        <v>74</v>
      </c>
      <c r="F150" t="s">
        <v>110</v>
      </c>
      <c r="G150" t="s">
        <v>88</v>
      </c>
      <c r="H150" s="3" t="s">
        <v>419</v>
      </c>
      <c r="I150" s="3" t="s">
        <v>307</v>
      </c>
      <c r="J150" t="s">
        <v>71</v>
      </c>
      <c r="K150">
        <v>70059</v>
      </c>
      <c r="L150" t="s">
        <v>58</v>
      </c>
      <c r="M150">
        <v>8</v>
      </c>
      <c r="N150" t="s">
        <v>29</v>
      </c>
      <c r="O150" t="str">
        <f t="shared" si="11"/>
        <v>Adult</v>
      </c>
      <c r="P150">
        <f t="shared" si="12"/>
        <v>2024</v>
      </c>
      <c r="Q150" t="str">
        <f t="shared" si="13"/>
        <v>Mar</v>
      </c>
      <c r="R150">
        <f t="shared" si="14"/>
        <v>2024</v>
      </c>
      <c r="S150" t="str">
        <f t="shared" si="15"/>
        <v>Mar</v>
      </c>
    </row>
    <row r="151" spans="1:19" x14ac:dyDescent="0.3">
      <c r="A151" t="s">
        <v>420</v>
      </c>
      <c r="B151" t="s">
        <v>38</v>
      </c>
      <c r="C151" t="s">
        <v>32</v>
      </c>
      <c r="D151">
        <v>54</v>
      </c>
      <c r="E151" t="s">
        <v>74</v>
      </c>
      <c r="F151" t="s">
        <v>80</v>
      </c>
      <c r="G151" t="s">
        <v>88</v>
      </c>
      <c r="H151" s="3" t="s">
        <v>115</v>
      </c>
      <c r="I151" s="3" t="s">
        <v>376</v>
      </c>
      <c r="J151" t="s">
        <v>27</v>
      </c>
      <c r="K151">
        <v>77957</v>
      </c>
      <c r="L151" t="s">
        <v>28</v>
      </c>
      <c r="M151">
        <v>2</v>
      </c>
      <c r="N151" t="s">
        <v>46</v>
      </c>
      <c r="O151" t="str">
        <f t="shared" si="11"/>
        <v>Adult</v>
      </c>
      <c r="P151">
        <f t="shared" si="12"/>
        <v>2024</v>
      </c>
      <c r="Q151" t="str">
        <f t="shared" si="13"/>
        <v>Jun</v>
      </c>
      <c r="R151">
        <f t="shared" si="14"/>
        <v>2024</v>
      </c>
      <c r="S151" t="str">
        <f t="shared" si="15"/>
        <v>Jun</v>
      </c>
    </row>
    <row r="152" spans="1:19" x14ac:dyDescent="0.3">
      <c r="A152" t="s">
        <v>421</v>
      </c>
      <c r="B152" t="s">
        <v>144</v>
      </c>
      <c r="C152" t="s">
        <v>32</v>
      </c>
      <c r="D152">
        <v>3</v>
      </c>
      <c r="E152" t="s">
        <v>74</v>
      </c>
      <c r="F152" t="s">
        <v>61</v>
      </c>
      <c r="G152" t="s">
        <v>24</v>
      </c>
      <c r="H152" s="3" t="s">
        <v>422</v>
      </c>
      <c r="I152" s="3" t="s">
        <v>423</v>
      </c>
      <c r="J152" t="s">
        <v>27</v>
      </c>
      <c r="K152">
        <v>82750</v>
      </c>
      <c r="L152" t="s">
        <v>45</v>
      </c>
      <c r="M152">
        <v>6</v>
      </c>
      <c r="N152" t="s">
        <v>46</v>
      </c>
      <c r="O152" t="str">
        <f t="shared" si="11"/>
        <v>Child</v>
      </c>
      <c r="P152">
        <f t="shared" si="12"/>
        <v>2024</v>
      </c>
      <c r="Q152" t="str">
        <f t="shared" si="13"/>
        <v>Dec</v>
      </c>
      <c r="R152">
        <f t="shared" si="14"/>
        <v>2024</v>
      </c>
      <c r="S152" t="str">
        <f t="shared" si="15"/>
        <v>Dec</v>
      </c>
    </row>
    <row r="153" spans="1:19" x14ac:dyDescent="0.3">
      <c r="A153" t="s">
        <v>424</v>
      </c>
      <c r="B153" t="s">
        <v>153</v>
      </c>
      <c r="C153" t="s">
        <v>32</v>
      </c>
      <c r="D153">
        <v>45</v>
      </c>
      <c r="E153" t="s">
        <v>74</v>
      </c>
      <c r="F153" t="s">
        <v>110</v>
      </c>
      <c r="G153" t="s">
        <v>111</v>
      </c>
      <c r="H153" s="3" t="s">
        <v>96</v>
      </c>
      <c r="I153" s="3" t="s">
        <v>191</v>
      </c>
      <c r="J153" t="s">
        <v>103</v>
      </c>
      <c r="K153">
        <v>58247</v>
      </c>
      <c r="L153" t="s">
        <v>58</v>
      </c>
      <c r="M153">
        <v>9</v>
      </c>
      <c r="N153" t="s">
        <v>77</v>
      </c>
      <c r="O153" t="str">
        <f t="shared" si="11"/>
        <v>Adult</v>
      </c>
      <c r="P153">
        <f t="shared" si="12"/>
        <v>2024</v>
      </c>
      <c r="Q153" t="str">
        <f t="shared" si="13"/>
        <v>Aug</v>
      </c>
      <c r="R153">
        <f t="shared" si="14"/>
        <v>2024</v>
      </c>
      <c r="S153" t="str">
        <f t="shared" si="15"/>
        <v>Jul</v>
      </c>
    </row>
    <row r="154" spans="1:19" x14ac:dyDescent="0.3">
      <c r="A154" t="s">
        <v>425</v>
      </c>
      <c r="B154" t="s">
        <v>79</v>
      </c>
      <c r="C154" t="s">
        <v>32</v>
      </c>
      <c r="D154">
        <v>61</v>
      </c>
      <c r="E154" t="s">
        <v>60</v>
      </c>
      <c r="F154" t="s">
        <v>61</v>
      </c>
      <c r="G154" t="s">
        <v>88</v>
      </c>
      <c r="H154" s="3" t="s">
        <v>333</v>
      </c>
      <c r="I154" s="3" t="s">
        <v>389</v>
      </c>
      <c r="J154" t="s">
        <v>44</v>
      </c>
      <c r="K154">
        <v>29878</v>
      </c>
      <c r="L154" t="s">
        <v>58</v>
      </c>
      <c r="M154">
        <v>10</v>
      </c>
      <c r="N154" t="s">
        <v>46</v>
      </c>
      <c r="O154" t="str">
        <f t="shared" si="11"/>
        <v>Senior</v>
      </c>
      <c r="P154">
        <f t="shared" si="12"/>
        <v>2024</v>
      </c>
      <c r="Q154" t="str">
        <f t="shared" si="13"/>
        <v>Dec</v>
      </c>
      <c r="R154">
        <f t="shared" si="14"/>
        <v>2024</v>
      </c>
      <c r="S154" t="str">
        <f t="shared" si="15"/>
        <v>Nov</v>
      </c>
    </row>
    <row r="155" spans="1:19" x14ac:dyDescent="0.3">
      <c r="A155" t="s">
        <v>426</v>
      </c>
      <c r="B155" t="s">
        <v>255</v>
      </c>
      <c r="C155" t="s">
        <v>21</v>
      </c>
      <c r="D155">
        <v>21</v>
      </c>
      <c r="E155" t="s">
        <v>39</v>
      </c>
      <c r="F155" t="s">
        <v>55</v>
      </c>
      <c r="G155" t="s">
        <v>111</v>
      </c>
      <c r="H155" s="3" t="s">
        <v>237</v>
      </c>
      <c r="I155" s="3" t="s">
        <v>427</v>
      </c>
      <c r="J155" t="s">
        <v>71</v>
      </c>
      <c r="K155">
        <v>81075</v>
      </c>
      <c r="L155" t="s">
        <v>58</v>
      </c>
      <c r="M155">
        <v>8</v>
      </c>
      <c r="N155" t="s">
        <v>77</v>
      </c>
      <c r="O155" t="str">
        <f t="shared" si="11"/>
        <v>Adult</v>
      </c>
      <c r="P155">
        <f t="shared" si="12"/>
        <v>2024</v>
      </c>
      <c r="Q155" t="str">
        <f t="shared" si="13"/>
        <v>Mar</v>
      </c>
      <c r="R155">
        <f t="shared" si="14"/>
        <v>2024</v>
      </c>
      <c r="S155" t="str">
        <f t="shared" si="15"/>
        <v>Mar</v>
      </c>
    </row>
    <row r="156" spans="1:19" x14ac:dyDescent="0.3">
      <c r="A156" t="s">
        <v>428</v>
      </c>
      <c r="B156" t="s">
        <v>122</v>
      </c>
      <c r="C156" t="s">
        <v>32</v>
      </c>
      <c r="D156">
        <v>68</v>
      </c>
      <c r="E156" t="s">
        <v>33</v>
      </c>
      <c r="F156" t="s">
        <v>110</v>
      </c>
      <c r="G156" t="s">
        <v>41</v>
      </c>
      <c r="H156" s="3" t="s">
        <v>429</v>
      </c>
      <c r="I156" s="3" t="s">
        <v>430</v>
      </c>
      <c r="J156" t="s">
        <v>27</v>
      </c>
      <c r="K156">
        <v>31506</v>
      </c>
      <c r="L156" t="s">
        <v>58</v>
      </c>
      <c r="M156">
        <v>9</v>
      </c>
      <c r="N156" t="s">
        <v>29</v>
      </c>
      <c r="O156" t="str">
        <f t="shared" si="11"/>
        <v>Senior</v>
      </c>
      <c r="P156">
        <f t="shared" si="12"/>
        <v>2024</v>
      </c>
      <c r="Q156" t="str">
        <f t="shared" si="13"/>
        <v>Jul</v>
      </c>
      <c r="R156">
        <f t="shared" si="14"/>
        <v>2024</v>
      </c>
      <c r="S156" t="str">
        <f t="shared" si="15"/>
        <v>Jul</v>
      </c>
    </row>
    <row r="157" spans="1:19" x14ac:dyDescent="0.3">
      <c r="A157" t="s">
        <v>431</v>
      </c>
      <c r="B157" t="s">
        <v>173</v>
      </c>
      <c r="C157" t="s">
        <v>32</v>
      </c>
      <c r="D157">
        <v>10</v>
      </c>
      <c r="E157" t="s">
        <v>22</v>
      </c>
      <c r="F157" t="s">
        <v>110</v>
      </c>
      <c r="G157" t="s">
        <v>111</v>
      </c>
      <c r="H157" s="3" t="s">
        <v>64</v>
      </c>
      <c r="I157" s="3" t="s">
        <v>262</v>
      </c>
      <c r="J157" t="s">
        <v>52</v>
      </c>
      <c r="K157">
        <v>91240</v>
      </c>
      <c r="L157" t="s">
        <v>45</v>
      </c>
      <c r="M157">
        <v>4</v>
      </c>
      <c r="N157" t="s">
        <v>46</v>
      </c>
      <c r="O157" t="str">
        <f t="shared" si="11"/>
        <v>Child</v>
      </c>
      <c r="P157">
        <f t="shared" si="12"/>
        <v>2024</v>
      </c>
      <c r="Q157" t="str">
        <f t="shared" si="13"/>
        <v>May</v>
      </c>
      <c r="R157">
        <f t="shared" si="14"/>
        <v>2024</v>
      </c>
      <c r="S157" t="str">
        <f t="shared" si="15"/>
        <v>May</v>
      </c>
    </row>
    <row r="158" spans="1:19" x14ac:dyDescent="0.3">
      <c r="A158" t="s">
        <v>432</v>
      </c>
      <c r="B158" t="s">
        <v>255</v>
      </c>
      <c r="C158" t="s">
        <v>32</v>
      </c>
      <c r="D158">
        <v>81</v>
      </c>
      <c r="E158" t="s">
        <v>54</v>
      </c>
      <c r="F158" t="s">
        <v>110</v>
      </c>
      <c r="G158" t="s">
        <v>88</v>
      </c>
      <c r="H158" s="3" t="s">
        <v>85</v>
      </c>
      <c r="I158" s="3" t="s">
        <v>433</v>
      </c>
      <c r="J158" t="s">
        <v>36</v>
      </c>
      <c r="K158">
        <v>49945</v>
      </c>
      <c r="L158" t="s">
        <v>58</v>
      </c>
      <c r="M158">
        <v>9</v>
      </c>
      <c r="N158" t="s">
        <v>77</v>
      </c>
      <c r="O158" t="str">
        <f t="shared" si="11"/>
        <v>Senior</v>
      </c>
      <c r="P158">
        <f t="shared" si="12"/>
        <v>2024</v>
      </c>
      <c r="Q158" t="str">
        <f t="shared" si="13"/>
        <v>Jan</v>
      </c>
      <c r="R158">
        <f t="shared" si="14"/>
        <v>2024</v>
      </c>
      <c r="S158" t="str">
        <f t="shared" si="15"/>
        <v>Jan</v>
      </c>
    </row>
    <row r="159" spans="1:19" x14ac:dyDescent="0.3">
      <c r="A159" t="s">
        <v>434</v>
      </c>
      <c r="B159" t="s">
        <v>118</v>
      </c>
      <c r="C159" t="s">
        <v>32</v>
      </c>
      <c r="D159">
        <v>26</v>
      </c>
      <c r="E159" t="s">
        <v>49</v>
      </c>
      <c r="F159" t="s">
        <v>55</v>
      </c>
      <c r="G159" t="s">
        <v>41</v>
      </c>
      <c r="H159" s="3" t="s">
        <v>435</v>
      </c>
      <c r="I159" s="3" t="s">
        <v>436</v>
      </c>
      <c r="J159" t="s">
        <v>36</v>
      </c>
      <c r="K159">
        <v>78424</v>
      </c>
      <c r="L159" t="s">
        <v>45</v>
      </c>
      <c r="M159">
        <v>5</v>
      </c>
      <c r="N159" t="s">
        <v>77</v>
      </c>
      <c r="O159" t="str">
        <f t="shared" si="11"/>
        <v>Adult</v>
      </c>
      <c r="P159">
        <f t="shared" si="12"/>
        <v>2024</v>
      </c>
      <c r="Q159" t="str">
        <f t="shared" si="13"/>
        <v>Feb</v>
      </c>
      <c r="R159">
        <f t="shared" si="14"/>
        <v>2024</v>
      </c>
      <c r="S159" t="str">
        <f t="shared" si="15"/>
        <v>Feb</v>
      </c>
    </row>
    <row r="160" spans="1:19" x14ac:dyDescent="0.3">
      <c r="A160" t="s">
        <v>437</v>
      </c>
      <c r="B160" t="s">
        <v>255</v>
      </c>
      <c r="C160" t="s">
        <v>32</v>
      </c>
      <c r="D160">
        <v>49</v>
      </c>
      <c r="E160" t="s">
        <v>54</v>
      </c>
      <c r="F160" t="s">
        <v>40</v>
      </c>
      <c r="G160" t="s">
        <v>88</v>
      </c>
      <c r="H160" s="3" t="s">
        <v>438</v>
      </c>
      <c r="I160" s="3" t="s">
        <v>333</v>
      </c>
      <c r="J160" t="s">
        <v>44</v>
      </c>
      <c r="K160">
        <v>90761</v>
      </c>
      <c r="L160" t="s">
        <v>45</v>
      </c>
      <c r="M160">
        <v>7</v>
      </c>
      <c r="N160" t="s">
        <v>77</v>
      </c>
      <c r="O160" t="str">
        <f t="shared" si="11"/>
        <v>Adult</v>
      </c>
      <c r="P160">
        <f t="shared" si="12"/>
        <v>2024</v>
      </c>
      <c r="Q160" t="str">
        <f t="shared" si="13"/>
        <v>Nov</v>
      </c>
      <c r="R160">
        <f t="shared" si="14"/>
        <v>2024</v>
      </c>
      <c r="S160" t="str">
        <f t="shared" si="15"/>
        <v>Nov</v>
      </c>
    </row>
    <row r="161" spans="1:19" x14ac:dyDescent="0.3">
      <c r="A161" t="s">
        <v>439</v>
      </c>
      <c r="B161" t="s">
        <v>101</v>
      </c>
      <c r="C161" t="s">
        <v>32</v>
      </c>
      <c r="D161">
        <v>32</v>
      </c>
      <c r="E161" t="s">
        <v>60</v>
      </c>
      <c r="F161" t="s">
        <v>55</v>
      </c>
      <c r="G161" t="s">
        <v>88</v>
      </c>
      <c r="H161" s="3" t="s">
        <v>275</v>
      </c>
      <c r="I161" s="3" t="s">
        <v>151</v>
      </c>
      <c r="J161" t="s">
        <v>65</v>
      </c>
      <c r="K161">
        <v>51304</v>
      </c>
      <c r="L161" t="s">
        <v>58</v>
      </c>
      <c r="M161">
        <v>1</v>
      </c>
      <c r="N161" t="s">
        <v>29</v>
      </c>
      <c r="O161" t="str">
        <f t="shared" si="11"/>
        <v>Adult</v>
      </c>
      <c r="P161">
        <f t="shared" si="12"/>
        <v>2024</v>
      </c>
      <c r="Q161" t="str">
        <f t="shared" si="13"/>
        <v>Aug</v>
      </c>
      <c r="R161">
        <f t="shared" si="14"/>
        <v>2024</v>
      </c>
      <c r="S161" t="str">
        <f t="shared" si="15"/>
        <v>Aug</v>
      </c>
    </row>
    <row r="162" spans="1:19" x14ac:dyDescent="0.3">
      <c r="A162" t="s">
        <v>440</v>
      </c>
      <c r="B162" t="s">
        <v>109</v>
      </c>
      <c r="C162" t="s">
        <v>21</v>
      </c>
      <c r="D162">
        <v>65</v>
      </c>
      <c r="E162" t="s">
        <v>54</v>
      </c>
      <c r="F162" t="s">
        <v>23</v>
      </c>
      <c r="G162" t="s">
        <v>41</v>
      </c>
      <c r="H162" s="3" t="s">
        <v>305</v>
      </c>
      <c r="I162" s="3" t="s">
        <v>441</v>
      </c>
      <c r="J162" t="s">
        <v>36</v>
      </c>
      <c r="K162">
        <v>77368</v>
      </c>
      <c r="L162" t="s">
        <v>45</v>
      </c>
      <c r="M162">
        <v>2</v>
      </c>
      <c r="N162" t="s">
        <v>29</v>
      </c>
      <c r="O162" t="str">
        <f t="shared" si="11"/>
        <v>Senior</v>
      </c>
      <c r="P162">
        <f t="shared" si="12"/>
        <v>2024</v>
      </c>
      <c r="Q162" t="str">
        <f t="shared" si="13"/>
        <v>Jul</v>
      </c>
      <c r="R162">
        <f t="shared" si="14"/>
        <v>2024</v>
      </c>
      <c r="S162" t="str">
        <f t="shared" si="15"/>
        <v>Jul</v>
      </c>
    </row>
    <row r="163" spans="1:19" x14ac:dyDescent="0.3">
      <c r="A163" t="s">
        <v>442</v>
      </c>
      <c r="B163" t="s">
        <v>105</v>
      </c>
      <c r="C163" t="s">
        <v>21</v>
      </c>
      <c r="D163">
        <v>63</v>
      </c>
      <c r="E163" t="s">
        <v>60</v>
      </c>
      <c r="F163" t="s">
        <v>61</v>
      </c>
      <c r="G163" t="s">
        <v>111</v>
      </c>
      <c r="H163" s="3" t="s">
        <v>443</v>
      </c>
      <c r="I163" s="3" t="s">
        <v>444</v>
      </c>
      <c r="J163" t="s">
        <v>103</v>
      </c>
      <c r="K163">
        <v>49881</v>
      </c>
      <c r="L163" t="s">
        <v>28</v>
      </c>
      <c r="M163">
        <v>6</v>
      </c>
      <c r="N163" t="s">
        <v>77</v>
      </c>
      <c r="O163" t="str">
        <f t="shared" si="11"/>
        <v>Senior</v>
      </c>
      <c r="P163">
        <f t="shared" si="12"/>
        <v>2024</v>
      </c>
      <c r="Q163" t="str">
        <f t="shared" si="13"/>
        <v>Jul</v>
      </c>
      <c r="R163">
        <f t="shared" si="14"/>
        <v>2024</v>
      </c>
      <c r="S163" t="str">
        <f t="shared" si="15"/>
        <v>Jul</v>
      </c>
    </row>
    <row r="164" spans="1:19" x14ac:dyDescent="0.3">
      <c r="A164" t="s">
        <v>445</v>
      </c>
      <c r="B164" t="s">
        <v>129</v>
      </c>
      <c r="C164" t="s">
        <v>21</v>
      </c>
      <c r="D164">
        <v>60</v>
      </c>
      <c r="E164" t="s">
        <v>54</v>
      </c>
      <c r="F164" t="s">
        <v>80</v>
      </c>
      <c r="G164" t="s">
        <v>81</v>
      </c>
      <c r="H164" s="3" t="s">
        <v>275</v>
      </c>
      <c r="I164" s="3" t="s">
        <v>190</v>
      </c>
      <c r="J164" t="s">
        <v>52</v>
      </c>
      <c r="K164">
        <v>15169</v>
      </c>
      <c r="L164" t="s">
        <v>28</v>
      </c>
      <c r="M164">
        <v>2</v>
      </c>
      <c r="N164" t="s">
        <v>77</v>
      </c>
      <c r="O164" t="str">
        <f t="shared" si="11"/>
        <v>Adult</v>
      </c>
      <c r="P164">
        <f t="shared" si="12"/>
        <v>2024</v>
      </c>
      <c r="Q164" t="str">
        <f t="shared" si="13"/>
        <v>Aug</v>
      </c>
      <c r="R164">
        <f t="shared" si="14"/>
        <v>2024</v>
      </c>
      <c r="S164" t="str">
        <f t="shared" si="15"/>
        <v>Aug</v>
      </c>
    </row>
    <row r="165" spans="1:19" x14ac:dyDescent="0.3">
      <c r="A165" t="s">
        <v>446</v>
      </c>
      <c r="B165" t="s">
        <v>179</v>
      </c>
      <c r="C165" t="s">
        <v>32</v>
      </c>
      <c r="D165">
        <v>36</v>
      </c>
      <c r="E165" t="s">
        <v>39</v>
      </c>
      <c r="F165" t="s">
        <v>110</v>
      </c>
      <c r="G165" t="s">
        <v>62</v>
      </c>
      <c r="H165" s="3" t="s">
        <v>263</v>
      </c>
      <c r="I165" s="3" t="s">
        <v>277</v>
      </c>
      <c r="J165" t="s">
        <v>103</v>
      </c>
      <c r="K165">
        <v>50691</v>
      </c>
      <c r="L165" t="s">
        <v>28</v>
      </c>
      <c r="M165">
        <v>6</v>
      </c>
      <c r="N165" t="s">
        <v>46</v>
      </c>
      <c r="O165" t="str">
        <f t="shared" si="11"/>
        <v>Adult</v>
      </c>
      <c r="P165">
        <f t="shared" si="12"/>
        <v>2024</v>
      </c>
      <c r="Q165" t="str">
        <f t="shared" si="13"/>
        <v>May</v>
      </c>
      <c r="R165">
        <f t="shared" si="14"/>
        <v>2024</v>
      </c>
      <c r="S165" t="str">
        <f t="shared" si="15"/>
        <v>May</v>
      </c>
    </row>
    <row r="166" spans="1:19" x14ac:dyDescent="0.3">
      <c r="A166" t="s">
        <v>447</v>
      </c>
      <c r="B166" t="s">
        <v>101</v>
      </c>
      <c r="C166" t="s">
        <v>32</v>
      </c>
      <c r="D166">
        <v>77</v>
      </c>
      <c r="E166" t="s">
        <v>60</v>
      </c>
      <c r="F166" t="s">
        <v>40</v>
      </c>
      <c r="G166" t="s">
        <v>81</v>
      </c>
      <c r="H166" s="3" t="s">
        <v>448</v>
      </c>
      <c r="I166" s="3" t="s">
        <v>449</v>
      </c>
      <c r="J166" t="s">
        <v>65</v>
      </c>
      <c r="K166">
        <v>17303</v>
      </c>
      <c r="L166" t="s">
        <v>28</v>
      </c>
      <c r="M166">
        <v>1</v>
      </c>
      <c r="N166" t="s">
        <v>29</v>
      </c>
      <c r="O166" t="str">
        <f t="shared" si="11"/>
        <v>Senior</v>
      </c>
      <c r="P166">
        <f t="shared" si="12"/>
        <v>2024</v>
      </c>
      <c r="Q166" t="str">
        <f t="shared" si="13"/>
        <v>May</v>
      </c>
      <c r="R166">
        <f t="shared" si="14"/>
        <v>2024</v>
      </c>
      <c r="S166" t="str">
        <f t="shared" si="15"/>
        <v>May</v>
      </c>
    </row>
    <row r="167" spans="1:19" x14ac:dyDescent="0.3">
      <c r="A167" t="s">
        <v>450</v>
      </c>
      <c r="B167" t="s">
        <v>153</v>
      </c>
      <c r="C167" t="s">
        <v>32</v>
      </c>
      <c r="D167">
        <v>59</v>
      </c>
      <c r="E167" t="s">
        <v>54</v>
      </c>
      <c r="F167" t="s">
        <v>80</v>
      </c>
      <c r="G167" t="s">
        <v>62</v>
      </c>
      <c r="H167" s="3" t="s">
        <v>186</v>
      </c>
      <c r="I167" s="3" t="s">
        <v>451</v>
      </c>
      <c r="J167" t="s">
        <v>103</v>
      </c>
      <c r="K167">
        <v>20391</v>
      </c>
      <c r="L167" t="s">
        <v>28</v>
      </c>
      <c r="M167">
        <v>3</v>
      </c>
      <c r="N167" t="s">
        <v>77</v>
      </c>
      <c r="O167" t="str">
        <f t="shared" si="11"/>
        <v>Adult</v>
      </c>
      <c r="P167">
        <f t="shared" si="12"/>
        <v>2024</v>
      </c>
      <c r="Q167" t="str">
        <f t="shared" si="13"/>
        <v>Mar</v>
      </c>
      <c r="R167">
        <f t="shared" si="14"/>
        <v>2024</v>
      </c>
      <c r="S167" t="str">
        <f t="shared" si="15"/>
        <v>Mar</v>
      </c>
    </row>
    <row r="168" spans="1:19" x14ac:dyDescent="0.3">
      <c r="A168" t="s">
        <v>452</v>
      </c>
      <c r="B168" t="s">
        <v>153</v>
      </c>
      <c r="C168" t="s">
        <v>32</v>
      </c>
      <c r="D168">
        <v>47</v>
      </c>
      <c r="E168" t="s">
        <v>39</v>
      </c>
      <c r="F168" t="s">
        <v>110</v>
      </c>
      <c r="G168" t="s">
        <v>81</v>
      </c>
      <c r="H168" s="3" t="s">
        <v>417</v>
      </c>
      <c r="I168" s="3" t="s">
        <v>200</v>
      </c>
      <c r="J168" t="s">
        <v>71</v>
      </c>
      <c r="K168">
        <v>41480</v>
      </c>
      <c r="L168" t="s">
        <v>58</v>
      </c>
      <c r="M168">
        <v>5</v>
      </c>
      <c r="N168" t="s">
        <v>77</v>
      </c>
      <c r="O168" t="str">
        <f t="shared" si="11"/>
        <v>Adult</v>
      </c>
      <c r="P168">
        <f t="shared" si="12"/>
        <v>2024</v>
      </c>
      <c r="Q168" t="str">
        <f t="shared" si="13"/>
        <v>Dec</v>
      </c>
      <c r="R168">
        <f t="shared" si="14"/>
        <v>2024</v>
      </c>
      <c r="S168" t="str">
        <f t="shared" si="15"/>
        <v>Dec</v>
      </c>
    </row>
    <row r="169" spans="1:19" x14ac:dyDescent="0.3">
      <c r="A169" t="s">
        <v>453</v>
      </c>
      <c r="B169" t="s">
        <v>48</v>
      </c>
      <c r="C169" t="s">
        <v>32</v>
      </c>
      <c r="D169">
        <v>77</v>
      </c>
      <c r="E169" t="s">
        <v>22</v>
      </c>
      <c r="F169" t="s">
        <v>80</v>
      </c>
      <c r="G169" t="s">
        <v>88</v>
      </c>
      <c r="H169" s="3" t="s">
        <v>454</v>
      </c>
      <c r="I169" s="3" t="s">
        <v>455</v>
      </c>
      <c r="J169" t="s">
        <v>52</v>
      </c>
      <c r="K169">
        <v>30910</v>
      </c>
      <c r="L169" t="s">
        <v>45</v>
      </c>
      <c r="M169">
        <v>7</v>
      </c>
      <c r="N169" t="s">
        <v>77</v>
      </c>
      <c r="O169" t="str">
        <f t="shared" si="11"/>
        <v>Senior</v>
      </c>
      <c r="P169">
        <f t="shared" si="12"/>
        <v>2024</v>
      </c>
      <c r="Q169" t="str">
        <f t="shared" si="13"/>
        <v>Jul</v>
      </c>
      <c r="R169">
        <f t="shared" si="14"/>
        <v>2024</v>
      </c>
      <c r="S169" t="str">
        <f t="shared" si="15"/>
        <v>Jun</v>
      </c>
    </row>
    <row r="170" spans="1:19" x14ac:dyDescent="0.3">
      <c r="A170" t="s">
        <v>456</v>
      </c>
      <c r="B170" t="s">
        <v>109</v>
      </c>
      <c r="C170" t="s">
        <v>32</v>
      </c>
      <c r="D170">
        <v>27</v>
      </c>
      <c r="E170" t="s">
        <v>60</v>
      </c>
      <c r="F170" t="s">
        <v>68</v>
      </c>
      <c r="G170" t="s">
        <v>41</v>
      </c>
      <c r="H170" s="3" t="s">
        <v>168</v>
      </c>
      <c r="I170" s="3" t="s">
        <v>226</v>
      </c>
      <c r="J170" t="s">
        <v>27</v>
      </c>
      <c r="K170">
        <v>34068</v>
      </c>
      <c r="L170" t="s">
        <v>28</v>
      </c>
      <c r="M170">
        <v>9</v>
      </c>
      <c r="N170" t="s">
        <v>46</v>
      </c>
      <c r="O170" t="str">
        <f t="shared" si="11"/>
        <v>Adult</v>
      </c>
      <c r="P170">
        <f t="shared" si="12"/>
        <v>2024</v>
      </c>
      <c r="Q170" t="str">
        <f t="shared" si="13"/>
        <v>Sep</v>
      </c>
      <c r="R170">
        <f t="shared" si="14"/>
        <v>2024</v>
      </c>
      <c r="S170" t="str">
        <f t="shared" si="15"/>
        <v>Sep</v>
      </c>
    </row>
    <row r="171" spans="1:19" x14ac:dyDescent="0.3">
      <c r="A171" t="s">
        <v>457</v>
      </c>
      <c r="B171" t="s">
        <v>173</v>
      </c>
      <c r="C171" t="s">
        <v>21</v>
      </c>
      <c r="D171">
        <v>71</v>
      </c>
      <c r="E171" t="s">
        <v>39</v>
      </c>
      <c r="F171" t="s">
        <v>40</v>
      </c>
      <c r="G171" t="s">
        <v>88</v>
      </c>
      <c r="H171" s="3" t="s">
        <v>93</v>
      </c>
      <c r="I171" s="3" t="s">
        <v>262</v>
      </c>
      <c r="J171" t="s">
        <v>52</v>
      </c>
      <c r="K171">
        <v>89214</v>
      </c>
      <c r="L171" t="s">
        <v>45</v>
      </c>
      <c r="M171">
        <v>7</v>
      </c>
      <c r="N171" t="s">
        <v>46</v>
      </c>
      <c r="O171" t="str">
        <f t="shared" si="11"/>
        <v>Senior</v>
      </c>
      <c r="P171">
        <f t="shared" si="12"/>
        <v>2024</v>
      </c>
      <c r="Q171" t="str">
        <f t="shared" si="13"/>
        <v>May</v>
      </c>
      <c r="R171">
        <f t="shared" si="14"/>
        <v>2024</v>
      </c>
      <c r="S171" t="str">
        <f t="shared" si="15"/>
        <v>May</v>
      </c>
    </row>
    <row r="172" spans="1:19" x14ac:dyDescent="0.3">
      <c r="A172" t="s">
        <v>458</v>
      </c>
      <c r="B172" t="s">
        <v>122</v>
      </c>
      <c r="C172" t="s">
        <v>21</v>
      </c>
      <c r="D172">
        <v>83</v>
      </c>
      <c r="E172" t="s">
        <v>60</v>
      </c>
      <c r="F172" t="s">
        <v>110</v>
      </c>
      <c r="G172" t="s">
        <v>81</v>
      </c>
      <c r="H172" s="3" t="s">
        <v>459</v>
      </c>
      <c r="I172" s="3" t="s">
        <v>460</v>
      </c>
      <c r="J172" t="s">
        <v>103</v>
      </c>
      <c r="K172">
        <v>56597</v>
      </c>
      <c r="L172" t="s">
        <v>58</v>
      </c>
      <c r="M172">
        <v>5</v>
      </c>
      <c r="N172" t="s">
        <v>46</v>
      </c>
      <c r="O172" t="str">
        <f t="shared" si="11"/>
        <v>Senior</v>
      </c>
      <c r="P172">
        <f t="shared" si="12"/>
        <v>2024</v>
      </c>
      <c r="Q172" t="str">
        <f t="shared" si="13"/>
        <v>Jun</v>
      </c>
      <c r="R172">
        <f t="shared" si="14"/>
        <v>2024</v>
      </c>
      <c r="S172" t="str">
        <f t="shared" si="15"/>
        <v>Jun</v>
      </c>
    </row>
    <row r="173" spans="1:19" x14ac:dyDescent="0.3">
      <c r="A173" t="s">
        <v>461</v>
      </c>
      <c r="B173" t="s">
        <v>140</v>
      </c>
      <c r="C173" t="s">
        <v>32</v>
      </c>
      <c r="D173">
        <v>4</v>
      </c>
      <c r="E173" t="s">
        <v>22</v>
      </c>
      <c r="F173" t="s">
        <v>40</v>
      </c>
      <c r="G173" t="s">
        <v>88</v>
      </c>
      <c r="H173" s="3" t="s">
        <v>57</v>
      </c>
      <c r="I173" s="3" t="s">
        <v>455</v>
      </c>
      <c r="J173" t="s">
        <v>36</v>
      </c>
      <c r="K173">
        <v>36577</v>
      </c>
      <c r="L173" t="s">
        <v>58</v>
      </c>
      <c r="M173">
        <v>5</v>
      </c>
      <c r="N173" t="s">
        <v>29</v>
      </c>
      <c r="O173" t="str">
        <f t="shared" si="11"/>
        <v>Child</v>
      </c>
      <c r="P173">
        <f t="shared" si="12"/>
        <v>2024</v>
      </c>
      <c r="Q173" t="str">
        <f t="shared" si="13"/>
        <v>Jul</v>
      </c>
      <c r="R173">
        <f t="shared" si="14"/>
        <v>2024</v>
      </c>
      <c r="S173" t="str">
        <f t="shared" si="15"/>
        <v>Jun</v>
      </c>
    </row>
    <row r="174" spans="1:19" x14ac:dyDescent="0.3">
      <c r="A174" t="s">
        <v>462</v>
      </c>
      <c r="B174" t="s">
        <v>122</v>
      </c>
      <c r="C174" t="s">
        <v>32</v>
      </c>
      <c r="D174">
        <v>73</v>
      </c>
      <c r="E174" t="s">
        <v>33</v>
      </c>
      <c r="F174" t="s">
        <v>40</v>
      </c>
      <c r="G174" t="s">
        <v>88</v>
      </c>
      <c r="H174" s="3" t="s">
        <v>272</v>
      </c>
      <c r="I174" s="3" t="s">
        <v>463</v>
      </c>
      <c r="J174" t="s">
        <v>65</v>
      </c>
      <c r="K174">
        <v>79210</v>
      </c>
      <c r="L174" t="s">
        <v>45</v>
      </c>
      <c r="M174">
        <v>9</v>
      </c>
      <c r="N174" t="s">
        <v>29</v>
      </c>
      <c r="O174" t="str">
        <f t="shared" si="11"/>
        <v>Senior</v>
      </c>
      <c r="P174">
        <f t="shared" si="12"/>
        <v>2025</v>
      </c>
      <c r="Q174" t="str">
        <f t="shared" si="13"/>
        <v>Jan</v>
      </c>
      <c r="R174">
        <f t="shared" si="14"/>
        <v>2024</v>
      </c>
      <c r="S174" t="str">
        <f t="shared" si="15"/>
        <v>Dec</v>
      </c>
    </row>
    <row r="175" spans="1:19" x14ac:dyDescent="0.3">
      <c r="A175" t="s">
        <v>464</v>
      </c>
      <c r="B175" t="s">
        <v>166</v>
      </c>
      <c r="C175" t="s">
        <v>32</v>
      </c>
      <c r="D175">
        <v>41</v>
      </c>
      <c r="E175" t="s">
        <v>39</v>
      </c>
      <c r="F175" t="s">
        <v>61</v>
      </c>
      <c r="G175" t="s">
        <v>41</v>
      </c>
      <c r="H175" s="3" t="s">
        <v>181</v>
      </c>
      <c r="I175" s="3" t="s">
        <v>310</v>
      </c>
      <c r="J175" t="s">
        <v>65</v>
      </c>
      <c r="K175">
        <v>99114</v>
      </c>
      <c r="L175" t="s">
        <v>28</v>
      </c>
      <c r="M175">
        <v>9</v>
      </c>
      <c r="N175" t="s">
        <v>29</v>
      </c>
      <c r="O175" t="str">
        <f t="shared" si="11"/>
        <v>Adult</v>
      </c>
      <c r="P175">
        <f t="shared" si="12"/>
        <v>2024</v>
      </c>
      <c r="Q175" t="str">
        <f t="shared" si="13"/>
        <v>Feb</v>
      </c>
      <c r="R175">
        <f t="shared" si="14"/>
        <v>2024</v>
      </c>
      <c r="S175" t="str">
        <f t="shared" si="15"/>
        <v>Jan</v>
      </c>
    </row>
    <row r="176" spans="1:19" x14ac:dyDescent="0.3">
      <c r="A176" t="s">
        <v>465</v>
      </c>
      <c r="B176" t="s">
        <v>67</v>
      </c>
      <c r="C176" t="s">
        <v>32</v>
      </c>
      <c r="D176">
        <v>43</v>
      </c>
      <c r="E176" t="s">
        <v>54</v>
      </c>
      <c r="F176" t="s">
        <v>40</v>
      </c>
      <c r="G176" t="s">
        <v>62</v>
      </c>
      <c r="H176" s="3" t="s">
        <v>212</v>
      </c>
      <c r="I176" s="3" t="s">
        <v>248</v>
      </c>
      <c r="J176" t="s">
        <v>103</v>
      </c>
      <c r="K176">
        <v>42398</v>
      </c>
      <c r="L176" t="s">
        <v>58</v>
      </c>
      <c r="M176">
        <v>10</v>
      </c>
      <c r="N176" t="s">
        <v>29</v>
      </c>
      <c r="O176" t="str">
        <f t="shared" si="11"/>
        <v>Adult</v>
      </c>
      <c r="P176">
        <f t="shared" si="12"/>
        <v>2024</v>
      </c>
      <c r="Q176" t="str">
        <f t="shared" si="13"/>
        <v>Dec</v>
      </c>
      <c r="R176">
        <f t="shared" si="14"/>
        <v>2024</v>
      </c>
      <c r="S176" t="str">
        <f t="shared" si="15"/>
        <v>Dec</v>
      </c>
    </row>
    <row r="177" spans="1:19" x14ac:dyDescent="0.3">
      <c r="A177" t="s">
        <v>466</v>
      </c>
      <c r="B177" t="s">
        <v>122</v>
      </c>
      <c r="C177" t="s">
        <v>21</v>
      </c>
      <c r="D177">
        <v>77</v>
      </c>
      <c r="E177" t="s">
        <v>22</v>
      </c>
      <c r="F177" t="s">
        <v>110</v>
      </c>
      <c r="G177" t="s">
        <v>111</v>
      </c>
      <c r="H177" s="3" t="s">
        <v>467</v>
      </c>
      <c r="I177" s="3" t="s">
        <v>314</v>
      </c>
      <c r="J177" t="s">
        <v>36</v>
      </c>
      <c r="K177">
        <v>28556</v>
      </c>
      <c r="L177" t="s">
        <v>45</v>
      </c>
      <c r="M177">
        <v>10</v>
      </c>
      <c r="N177" t="s">
        <v>46</v>
      </c>
      <c r="O177" t="str">
        <f t="shared" si="11"/>
        <v>Senior</v>
      </c>
      <c r="P177">
        <f t="shared" si="12"/>
        <v>2024</v>
      </c>
      <c r="Q177" t="str">
        <f t="shared" si="13"/>
        <v>Aug</v>
      </c>
      <c r="R177">
        <f t="shared" si="14"/>
        <v>2024</v>
      </c>
      <c r="S177" t="str">
        <f t="shared" si="15"/>
        <v>Aug</v>
      </c>
    </row>
    <row r="178" spans="1:19" x14ac:dyDescent="0.3">
      <c r="A178" t="s">
        <v>468</v>
      </c>
      <c r="B178" t="s">
        <v>118</v>
      </c>
      <c r="C178" t="s">
        <v>21</v>
      </c>
      <c r="D178">
        <v>65</v>
      </c>
      <c r="E178" t="s">
        <v>49</v>
      </c>
      <c r="F178" t="s">
        <v>80</v>
      </c>
      <c r="G178" t="s">
        <v>41</v>
      </c>
      <c r="H178" s="3" t="s">
        <v>469</v>
      </c>
      <c r="I178" s="3" t="s">
        <v>470</v>
      </c>
      <c r="J178" t="s">
        <v>36</v>
      </c>
      <c r="K178">
        <v>54200</v>
      </c>
      <c r="L178" t="s">
        <v>58</v>
      </c>
      <c r="M178">
        <v>8</v>
      </c>
      <c r="N178" t="s">
        <v>77</v>
      </c>
      <c r="O178" t="str">
        <f t="shared" si="11"/>
        <v>Senior</v>
      </c>
      <c r="P178">
        <f t="shared" si="12"/>
        <v>2024</v>
      </c>
      <c r="Q178" t="str">
        <f t="shared" si="13"/>
        <v>Nov</v>
      </c>
      <c r="R178">
        <f t="shared" si="14"/>
        <v>2024</v>
      </c>
      <c r="S178" t="str">
        <f t="shared" si="15"/>
        <v>Oct</v>
      </c>
    </row>
    <row r="179" spans="1:19" x14ac:dyDescent="0.3">
      <c r="A179" t="s">
        <v>471</v>
      </c>
      <c r="B179" t="s">
        <v>153</v>
      </c>
      <c r="C179" t="s">
        <v>21</v>
      </c>
      <c r="D179">
        <v>26</v>
      </c>
      <c r="E179" t="s">
        <v>74</v>
      </c>
      <c r="F179" t="s">
        <v>55</v>
      </c>
      <c r="G179" t="s">
        <v>62</v>
      </c>
      <c r="H179" s="3" t="s">
        <v>282</v>
      </c>
      <c r="I179" s="3" t="s">
        <v>134</v>
      </c>
      <c r="J179" t="s">
        <v>52</v>
      </c>
      <c r="K179">
        <v>29812</v>
      </c>
      <c r="L179" t="s">
        <v>58</v>
      </c>
      <c r="M179">
        <v>4</v>
      </c>
      <c r="N179" t="s">
        <v>46</v>
      </c>
      <c r="O179" t="str">
        <f t="shared" si="11"/>
        <v>Adult</v>
      </c>
      <c r="P179">
        <f t="shared" si="12"/>
        <v>2024</v>
      </c>
      <c r="Q179" t="str">
        <f t="shared" si="13"/>
        <v>Dec</v>
      </c>
      <c r="R179">
        <f t="shared" si="14"/>
        <v>2024</v>
      </c>
      <c r="S179" t="str">
        <f t="shared" si="15"/>
        <v>Dec</v>
      </c>
    </row>
    <row r="180" spans="1:19" x14ac:dyDescent="0.3">
      <c r="A180" t="s">
        <v>472</v>
      </c>
      <c r="B180" t="s">
        <v>79</v>
      </c>
      <c r="C180" t="s">
        <v>32</v>
      </c>
      <c r="D180">
        <v>24</v>
      </c>
      <c r="E180" t="s">
        <v>33</v>
      </c>
      <c r="F180" t="s">
        <v>68</v>
      </c>
      <c r="G180" t="s">
        <v>81</v>
      </c>
      <c r="H180" s="3" t="s">
        <v>304</v>
      </c>
      <c r="I180" s="3" t="s">
        <v>473</v>
      </c>
      <c r="J180" t="s">
        <v>65</v>
      </c>
      <c r="K180">
        <v>37270</v>
      </c>
      <c r="L180" t="s">
        <v>28</v>
      </c>
      <c r="M180">
        <v>8</v>
      </c>
      <c r="N180" t="s">
        <v>46</v>
      </c>
      <c r="O180" t="str">
        <f t="shared" si="11"/>
        <v>Adult</v>
      </c>
      <c r="P180">
        <f t="shared" si="12"/>
        <v>2024</v>
      </c>
      <c r="Q180" t="str">
        <f t="shared" si="13"/>
        <v>Jul</v>
      </c>
      <c r="R180">
        <f t="shared" si="14"/>
        <v>2024</v>
      </c>
      <c r="S180" t="str">
        <f t="shared" si="15"/>
        <v>Jul</v>
      </c>
    </row>
    <row r="181" spans="1:19" x14ac:dyDescent="0.3">
      <c r="A181" t="s">
        <v>474</v>
      </c>
      <c r="B181" t="s">
        <v>179</v>
      </c>
      <c r="C181" t="s">
        <v>21</v>
      </c>
      <c r="D181">
        <v>46</v>
      </c>
      <c r="E181" t="s">
        <v>49</v>
      </c>
      <c r="F181" t="s">
        <v>61</v>
      </c>
      <c r="G181" t="s">
        <v>81</v>
      </c>
      <c r="H181" s="3" t="s">
        <v>265</v>
      </c>
      <c r="I181" s="3" t="s">
        <v>475</v>
      </c>
      <c r="J181" t="s">
        <v>65</v>
      </c>
      <c r="K181">
        <v>85738</v>
      </c>
      <c r="L181" t="s">
        <v>58</v>
      </c>
      <c r="M181">
        <v>5</v>
      </c>
      <c r="N181" t="s">
        <v>46</v>
      </c>
      <c r="O181" t="str">
        <f t="shared" si="11"/>
        <v>Adult</v>
      </c>
      <c r="P181">
        <f t="shared" si="12"/>
        <v>2024</v>
      </c>
      <c r="Q181" t="str">
        <f t="shared" si="13"/>
        <v>Oct</v>
      </c>
      <c r="R181">
        <f t="shared" si="14"/>
        <v>2024</v>
      </c>
      <c r="S181" t="str">
        <f t="shared" si="15"/>
        <v>Sep</v>
      </c>
    </row>
    <row r="182" spans="1:19" x14ac:dyDescent="0.3">
      <c r="A182" t="s">
        <v>476</v>
      </c>
      <c r="B182" t="s">
        <v>140</v>
      </c>
      <c r="C182" t="s">
        <v>21</v>
      </c>
      <c r="D182">
        <v>14</v>
      </c>
      <c r="E182" t="s">
        <v>74</v>
      </c>
      <c r="F182" t="s">
        <v>23</v>
      </c>
      <c r="G182" t="s">
        <v>62</v>
      </c>
      <c r="H182" s="3" t="s">
        <v>477</v>
      </c>
      <c r="I182" s="3" t="s">
        <v>25</v>
      </c>
      <c r="J182" t="s">
        <v>52</v>
      </c>
      <c r="K182">
        <v>49833</v>
      </c>
      <c r="L182" t="s">
        <v>45</v>
      </c>
      <c r="M182">
        <v>6</v>
      </c>
      <c r="N182" t="s">
        <v>46</v>
      </c>
      <c r="O182" t="str">
        <f t="shared" si="11"/>
        <v>Child</v>
      </c>
      <c r="P182">
        <f t="shared" si="12"/>
        <v>2024</v>
      </c>
      <c r="Q182" t="str">
        <f t="shared" si="13"/>
        <v>Sep</v>
      </c>
      <c r="R182">
        <f t="shared" si="14"/>
        <v>2024</v>
      </c>
      <c r="S182" t="str">
        <f t="shared" si="15"/>
        <v>Aug</v>
      </c>
    </row>
    <row r="183" spans="1:19" x14ac:dyDescent="0.3">
      <c r="A183" t="s">
        <v>478</v>
      </c>
      <c r="B183" t="s">
        <v>144</v>
      </c>
      <c r="C183" t="s">
        <v>21</v>
      </c>
      <c r="D183">
        <v>68</v>
      </c>
      <c r="E183" t="s">
        <v>39</v>
      </c>
      <c r="F183" t="s">
        <v>80</v>
      </c>
      <c r="G183" t="s">
        <v>41</v>
      </c>
      <c r="H183" s="3" t="s">
        <v>479</v>
      </c>
      <c r="I183" s="3" t="s">
        <v>214</v>
      </c>
      <c r="J183" t="s">
        <v>52</v>
      </c>
      <c r="K183">
        <v>55402</v>
      </c>
      <c r="L183" t="s">
        <v>58</v>
      </c>
      <c r="M183">
        <v>1</v>
      </c>
      <c r="N183" t="s">
        <v>46</v>
      </c>
      <c r="O183" t="str">
        <f t="shared" si="11"/>
        <v>Senior</v>
      </c>
      <c r="P183">
        <f t="shared" si="12"/>
        <v>2024</v>
      </c>
      <c r="Q183" t="str">
        <f t="shared" si="13"/>
        <v>Jun</v>
      </c>
      <c r="R183">
        <f t="shared" si="14"/>
        <v>2024</v>
      </c>
      <c r="S183" t="str">
        <f t="shared" si="15"/>
        <v>Jun</v>
      </c>
    </row>
    <row r="184" spans="1:19" x14ac:dyDescent="0.3">
      <c r="A184" t="s">
        <v>480</v>
      </c>
      <c r="B184" t="s">
        <v>144</v>
      </c>
      <c r="C184" t="s">
        <v>21</v>
      </c>
      <c r="D184">
        <v>63</v>
      </c>
      <c r="E184" t="s">
        <v>60</v>
      </c>
      <c r="F184" t="s">
        <v>110</v>
      </c>
      <c r="G184" t="s">
        <v>24</v>
      </c>
      <c r="H184" s="3" t="s">
        <v>259</v>
      </c>
      <c r="I184" s="3" t="s">
        <v>481</v>
      </c>
      <c r="J184" t="s">
        <v>65</v>
      </c>
      <c r="K184">
        <v>24804</v>
      </c>
      <c r="L184" t="s">
        <v>58</v>
      </c>
      <c r="M184">
        <v>7</v>
      </c>
      <c r="N184" t="s">
        <v>46</v>
      </c>
      <c r="O184" t="str">
        <f t="shared" si="11"/>
        <v>Senior</v>
      </c>
      <c r="P184">
        <f t="shared" si="12"/>
        <v>2024</v>
      </c>
      <c r="Q184" t="str">
        <f t="shared" si="13"/>
        <v>May</v>
      </c>
      <c r="R184">
        <f t="shared" si="14"/>
        <v>2024</v>
      </c>
      <c r="S184" t="str">
        <f t="shared" si="15"/>
        <v>May</v>
      </c>
    </row>
    <row r="185" spans="1:19" x14ac:dyDescent="0.3">
      <c r="A185" t="s">
        <v>482</v>
      </c>
      <c r="B185" t="s">
        <v>129</v>
      </c>
      <c r="C185" t="s">
        <v>21</v>
      </c>
      <c r="D185">
        <v>4</v>
      </c>
      <c r="E185" t="s">
        <v>33</v>
      </c>
      <c r="F185" t="s">
        <v>110</v>
      </c>
      <c r="G185" t="s">
        <v>111</v>
      </c>
      <c r="H185" s="3" t="s">
        <v>483</v>
      </c>
      <c r="I185" s="3" t="s">
        <v>385</v>
      </c>
      <c r="J185" t="s">
        <v>52</v>
      </c>
      <c r="K185">
        <v>13843</v>
      </c>
      <c r="L185" t="s">
        <v>45</v>
      </c>
      <c r="M185">
        <v>5</v>
      </c>
      <c r="N185" t="s">
        <v>46</v>
      </c>
      <c r="O185" t="str">
        <f t="shared" si="11"/>
        <v>Child</v>
      </c>
      <c r="P185">
        <f t="shared" si="12"/>
        <v>2024</v>
      </c>
      <c r="Q185" t="str">
        <f t="shared" si="13"/>
        <v>May</v>
      </c>
      <c r="R185">
        <f t="shared" si="14"/>
        <v>2024</v>
      </c>
      <c r="S185" t="str">
        <f t="shared" si="15"/>
        <v>May</v>
      </c>
    </row>
    <row r="186" spans="1:19" x14ac:dyDescent="0.3">
      <c r="A186" t="s">
        <v>484</v>
      </c>
      <c r="B186" t="s">
        <v>38</v>
      </c>
      <c r="C186" t="s">
        <v>32</v>
      </c>
      <c r="D186">
        <v>55</v>
      </c>
      <c r="E186" t="s">
        <v>54</v>
      </c>
      <c r="F186" t="s">
        <v>68</v>
      </c>
      <c r="G186" t="s">
        <v>81</v>
      </c>
      <c r="H186" s="3" t="s">
        <v>485</v>
      </c>
      <c r="I186" s="3" t="s">
        <v>486</v>
      </c>
      <c r="J186" t="s">
        <v>52</v>
      </c>
      <c r="K186">
        <v>44598</v>
      </c>
      <c r="L186" t="s">
        <v>28</v>
      </c>
      <c r="M186">
        <v>7</v>
      </c>
      <c r="N186" t="s">
        <v>46</v>
      </c>
      <c r="O186" t="str">
        <f t="shared" si="11"/>
        <v>Adult</v>
      </c>
      <c r="P186">
        <f t="shared" si="12"/>
        <v>2024</v>
      </c>
      <c r="Q186" t="str">
        <f t="shared" si="13"/>
        <v>Nov</v>
      </c>
      <c r="R186">
        <f t="shared" si="14"/>
        <v>2024</v>
      </c>
      <c r="S186" t="str">
        <f t="shared" si="15"/>
        <v>Nov</v>
      </c>
    </row>
    <row r="187" spans="1:19" x14ac:dyDescent="0.3">
      <c r="A187" t="s">
        <v>487</v>
      </c>
      <c r="B187" t="s">
        <v>73</v>
      </c>
      <c r="C187" t="s">
        <v>21</v>
      </c>
      <c r="D187">
        <v>57</v>
      </c>
      <c r="E187" t="s">
        <v>60</v>
      </c>
      <c r="F187" t="s">
        <v>68</v>
      </c>
      <c r="G187" t="s">
        <v>81</v>
      </c>
      <c r="H187" s="3" t="s">
        <v>316</v>
      </c>
      <c r="I187" s="3" t="s">
        <v>131</v>
      </c>
      <c r="J187" t="s">
        <v>65</v>
      </c>
      <c r="K187">
        <v>41844</v>
      </c>
      <c r="L187" t="s">
        <v>58</v>
      </c>
      <c r="M187">
        <v>9</v>
      </c>
      <c r="N187" t="s">
        <v>77</v>
      </c>
      <c r="O187" t="str">
        <f t="shared" si="11"/>
        <v>Adult</v>
      </c>
      <c r="P187">
        <f t="shared" si="12"/>
        <v>2024</v>
      </c>
      <c r="Q187" t="str">
        <f t="shared" si="13"/>
        <v>Nov</v>
      </c>
      <c r="R187">
        <f t="shared" si="14"/>
        <v>2024</v>
      </c>
      <c r="S187" t="str">
        <f t="shared" si="15"/>
        <v>Nov</v>
      </c>
    </row>
    <row r="188" spans="1:19" x14ac:dyDescent="0.3">
      <c r="A188" t="s">
        <v>488</v>
      </c>
      <c r="B188" t="s">
        <v>173</v>
      </c>
      <c r="C188" t="s">
        <v>21</v>
      </c>
      <c r="D188">
        <v>65</v>
      </c>
      <c r="E188" t="s">
        <v>39</v>
      </c>
      <c r="F188" t="s">
        <v>68</v>
      </c>
      <c r="G188" t="s">
        <v>62</v>
      </c>
      <c r="H188" s="3" t="s">
        <v>283</v>
      </c>
      <c r="I188" s="3" t="s">
        <v>489</v>
      </c>
      <c r="J188" t="s">
        <v>44</v>
      </c>
      <c r="K188">
        <v>56561</v>
      </c>
      <c r="L188" t="s">
        <v>45</v>
      </c>
      <c r="M188">
        <v>2</v>
      </c>
      <c r="N188" t="s">
        <v>29</v>
      </c>
      <c r="O188" t="str">
        <f t="shared" si="11"/>
        <v>Senior</v>
      </c>
      <c r="P188">
        <f t="shared" si="12"/>
        <v>2024</v>
      </c>
      <c r="Q188" t="str">
        <f t="shared" si="13"/>
        <v>Dec</v>
      </c>
      <c r="R188">
        <f t="shared" si="14"/>
        <v>2024</v>
      </c>
      <c r="S188" t="str">
        <f t="shared" si="15"/>
        <v>Dec</v>
      </c>
    </row>
    <row r="189" spans="1:19" x14ac:dyDescent="0.3">
      <c r="A189" t="s">
        <v>490</v>
      </c>
      <c r="B189" t="s">
        <v>31</v>
      </c>
      <c r="C189" t="s">
        <v>32</v>
      </c>
      <c r="D189">
        <v>15</v>
      </c>
      <c r="E189" t="s">
        <v>22</v>
      </c>
      <c r="F189" t="s">
        <v>80</v>
      </c>
      <c r="G189" t="s">
        <v>88</v>
      </c>
      <c r="H189" s="3" t="s">
        <v>265</v>
      </c>
      <c r="I189" s="3" t="s">
        <v>491</v>
      </c>
      <c r="J189" t="s">
        <v>44</v>
      </c>
      <c r="K189">
        <v>36834</v>
      </c>
      <c r="L189" t="s">
        <v>28</v>
      </c>
      <c r="M189">
        <v>7</v>
      </c>
      <c r="N189" t="s">
        <v>29</v>
      </c>
      <c r="O189" t="str">
        <f t="shared" si="11"/>
        <v>Child</v>
      </c>
      <c r="P189">
        <f t="shared" si="12"/>
        <v>2024</v>
      </c>
      <c r="Q189" t="str">
        <f t="shared" si="13"/>
        <v>Oct</v>
      </c>
      <c r="R189">
        <f t="shared" si="14"/>
        <v>2024</v>
      </c>
      <c r="S189" t="str">
        <f t="shared" si="15"/>
        <v>Sep</v>
      </c>
    </row>
    <row r="190" spans="1:19" x14ac:dyDescent="0.3">
      <c r="A190" t="s">
        <v>492</v>
      </c>
      <c r="B190" t="s">
        <v>38</v>
      </c>
      <c r="C190" t="s">
        <v>32</v>
      </c>
      <c r="D190">
        <v>79</v>
      </c>
      <c r="E190" t="s">
        <v>54</v>
      </c>
      <c r="F190" t="s">
        <v>23</v>
      </c>
      <c r="G190" t="s">
        <v>62</v>
      </c>
      <c r="H190" s="3" t="s">
        <v>436</v>
      </c>
      <c r="I190" s="3" t="s">
        <v>148</v>
      </c>
      <c r="J190" t="s">
        <v>44</v>
      </c>
      <c r="K190">
        <v>35720</v>
      </c>
      <c r="L190" t="s">
        <v>45</v>
      </c>
      <c r="M190">
        <v>4</v>
      </c>
      <c r="N190" t="s">
        <v>77</v>
      </c>
      <c r="O190" t="str">
        <f t="shared" si="11"/>
        <v>Senior</v>
      </c>
      <c r="P190">
        <f t="shared" si="12"/>
        <v>2024</v>
      </c>
      <c r="Q190" t="str">
        <f t="shared" si="13"/>
        <v>Feb</v>
      </c>
      <c r="R190">
        <f t="shared" si="14"/>
        <v>2024</v>
      </c>
      <c r="S190" t="str">
        <f t="shared" si="15"/>
        <v>Feb</v>
      </c>
    </row>
    <row r="191" spans="1:19" x14ac:dyDescent="0.3">
      <c r="A191" t="s">
        <v>493</v>
      </c>
      <c r="B191" t="s">
        <v>255</v>
      </c>
      <c r="C191" t="s">
        <v>21</v>
      </c>
      <c r="D191">
        <v>31</v>
      </c>
      <c r="E191" t="s">
        <v>39</v>
      </c>
      <c r="F191" t="s">
        <v>40</v>
      </c>
      <c r="G191" t="s">
        <v>62</v>
      </c>
      <c r="H191" s="3" t="s">
        <v>494</v>
      </c>
      <c r="I191" s="3" t="s">
        <v>495</v>
      </c>
      <c r="J191" t="s">
        <v>44</v>
      </c>
      <c r="K191">
        <v>83478</v>
      </c>
      <c r="L191" t="s">
        <v>28</v>
      </c>
      <c r="M191">
        <v>2</v>
      </c>
      <c r="N191" t="s">
        <v>29</v>
      </c>
      <c r="O191" t="str">
        <f t="shared" si="11"/>
        <v>Adult</v>
      </c>
      <c r="P191">
        <f t="shared" si="12"/>
        <v>2024</v>
      </c>
      <c r="Q191" t="str">
        <f t="shared" si="13"/>
        <v>Sep</v>
      </c>
      <c r="R191">
        <f t="shared" si="14"/>
        <v>2024</v>
      </c>
      <c r="S191" t="str">
        <f t="shared" si="15"/>
        <v>Sep</v>
      </c>
    </row>
    <row r="192" spans="1:19" x14ac:dyDescent="0.3">
      <c r="A192" t="s">
        <v>496</v>
      </c>
      <c r="B192" t="s">
        <v>73</v>
      </c>
      <c r="C192" t="s">
        <v>32</v>
      </c>
      <c r="D192">
        <v>78</v>
      </c>
      <c r="E192" t="s">
        <v>60</v>
      </c>
      <c r="F192" t="s">
        <v>61</v>
      </c>
      <c r="G192" t="s">
        <v>41</v>
      </c>
      <c r="H192" s="3" t="s">
        <v>63</v>
      </c>
      <c r="I192" s="3" t="s">
        <v>497</v>
      </c>
      <c r="J192" t="s">
        <v>52</v>
      </c>
      <c r="K192">
        <v>94314</v>
      </c>
      <c r="L192" t="s">
        <v>58</v>
      </c>
      <c r="M192">
        <v>6</v>
      </c>
      <c r="N192" t="s">
        <v>46</v>
      </c>
      <c r="O192" t="str">
        <f t="shared" si="11"/>
        <v>Senior</v>
      </c>
      <c r="P192">
        <f t="shared" si="12"/>
        <v>2024</v>
      </c>
      <c r="Q192" t="str">
        <f t="shared" si="13"/>
        <v>May</v>
      </c>
      <c r="R192">
        <f t="shared" si="14"/>
        <v>2024</v>
      </c>
      <c r="S192" t="str">
        <f t="shared" si="15"/>
        <v>Apr</v>
      </c>
    </row>
    <row r="193" spans="1:19" x14ac:dyDescent="0.3">
      <c r="A193" t="s">
        <v>498</v>
      </c>
      <c r="B193" t="s">
        <v>109</v>
      </c>
      <c r="C193" t="s">
        <v>32</v>
      </c>
      <c r="D193">
        <v>83</v>
      </c>
      <c r="E193" t="s">
        <v>60</v>
      </c>
      <c r="F193" t="s">
        <v>61</v>
      </c>
      <c r="G193" t="s">
        <v>111</v>
      </c>
      <c r="H193" s="3" t="s">
        <v>499</v>
      </c>
      <c r="I193" s="3" t="s">
        <v>500</v>
      </c>
      <c r="J193" t="s">
        <v>65</v>
      </c>
      <c r="K193">
        <v>46274</v>
      </c>
      <c r="L193" t="s">
        <v>45</v>
      </c>
      <c r="M193">
        <v>8</v>
      </c>
      <c r="N193" t="s">
        <v>29</v>
      </c>
      <c r="O193" t="str">
        <f t="shared" si="11"/>
        <v>Senior</v>
      </c>
      <c r="P193">
        <f t="shared" si="12"/>
        <v>2024</v>
      </c>
      <c r="Q193" t="str">
        <f t="shared" si="13"/>
        <v>Oct</v>
      </c>
      <c r="R193">
        <f t="shared" si="14"/>
        <v>2024</v>
      </c>
      <c r="S193" t="str">
        <f t="shared" si="15"/>
        <v>Oct</v>
      </c>
    </row>
    <row r="194" spans="1:19" x14ac:dyDescent="0.3">
      <c r="A194" t="s">
        <v>501</v>
      </c>
      <c r="B194" t="s">
        <v>105</v>
      </c>
      <c r="C194" t="s">
        <v>21</v>
      </c>
      <c r="D194">
        <v>84</v>
      </c>
      <c r="E194" t="s">
        <v>39</v>
      </c>
      <c r="F194" t="s">
        <v>110</v>
      </c>
      <c r="G194" t="s">
        <v>24</v>
      </c>
      <c r="H194" s="3" t="s">
        <v>314</v>
      </c>
      <c r="I194" s="3" t="s">
        <v>477</v>
      </c>
      <c r="J194" t="s">
        <v>36</v>
      </c>
      <c r="K194">
        <v>45728</v>
      </c>
      <c r="L194" t="s">
        <v>45</v>
      </c>
      <c r="M194">
        <v>9</v>
      </c>
      <c r="N194" t="s">
        <v>46</v>
      </c>
      <c r="O194" t="str">
        <f t="shared" si="11"/>
        <v>Senior</v>
      </c>
      <c r="P194">
        <f t="shared" si="12"/>
        <v>2024</v>
      </c>
      <c r="Q194" t="str">
        <f t="shared" si="13"/>
        <v>Aug</v>
      </c>
      <c r="R194">
        <f t="shared" si="14"/>
        <v>2024</v>
      </c>
      <c r="S194" t="str">
        <f t="shared" si="15"/>
        <v>Aug</v>
      </c>
    </row>
    <row r="195" spans="1:19" x14ac:dyDescent="0.3">
      <c r="A195" t="s">
        <v>502</v>
      </c>
      <c r="B195" t="s">
        <v>118</v>
      </c>
      <c r="C195" t="s">
        <v>32</v>
      </c>
      <c r="D195">
        <v>31</v>
      </c>
      <c r="E195" t="s">
        <v>39</v>
      </c>
      <c r="F195" t="s">
        <v>61</v>
      </c>
      <c r="G195" t="s">
        <v>111</v>
      </c>
      <c r="H195" s="3" t="s">
        <v>455</v>
      </c>
      <c r="I195" s="3" t="s">
        <v>364</v>
      </c>
      <c r="J195" t="s">
        <v>27</v>
      </c>
      <c r="K195">
        <v>41614</v>
      </c>
      <c r="L195" t="s">
        <v>45</v>
      </c>
      <c r="M195">
        <v>10</v>
      </c>
      <c r="N195" t="s">
        <v>46</v>
      </c>
      <c r="O195" t="str">
        <f t="shared" ref="O195:O251" si="16">IF(D195&lt;18,"Child",IF(D195&lt;=60,"Adult","Senior"))</f>
        <v>Adult</v>
      </c>
      <c r="P195">
        <f t="shared" ref="P195:P251" si="17">YEAR(I195)</f>
        <v>2024</v>
      </c>
      <c r="Q195" t="str">
        <f t="shared" ref="Q195:Q251" si="18">TEXT(I195,"mmm")</f>
        <v>Jul</v>
      </c>
      <c r="R195">
        <f t="shared" ref="R195:R251" si="19">YEAR(H195)</f>
        <v>2024</v>
      </c>
      <c r="S195" t="str">
        <f t="shared" ref="S195:S251" si="20">TEXT(H195,"mmm")</f>
        <v>Jul</v>
      </c>
    </row>
    <row r="196" spans="1:19" x14ac:dyDescent="0.3">
      <c r="A196" t="s">
        <v>503</v>
      </c>
      <c r="B196" t="s">
        <v>144</v>
      </c>
      <c r="C196" t="s">
        <v>32</v>
      </c>
      <c r="D196">
        <v>77</v>
      </c>
      <c r="E196" t="s">
        <v>22</v>
      </c>
      <c r="F196" t="s">
        <v>80</v>
      </c>
      <c r="G196" t="s">
        <v>24</v>
      </c>
      <c r="H196" s="3" t="s">
        <v>504</v>
      </c>
      <c r="I196" s="3" t="s">
        <v>505</v>
      </c>
      <c r="J196" t="s">
        <v>44</v>
      </c>
      <c r="K196">
        <v>74497</v>
      </c>
      <c r="L196" t="s">
        <v>45</v>
      </c>
      <c r="M196">
        <v>2</v>
      </c>
      <c r="N196" t="s">
        <v>77</v>
      </c>
      <c r="O196" t="str">
        <f t="shared" si="16"/>
        <v>Senior</v>
      </c>
      <c r="P196">
        <f t="shared" si="17"/>
        <v>2024</v>
      </c>
      <c r="Q196" t="str">
        <f t="shared" si="18"/>
        <v>Oct</v>
      </c>
      <c r="R196">
        <f t="shared" si="19"/>
        <v>2024</v>
      </c>
      <c r="S196" t="str">
        <f t="shared" si="20"/>
        <v>Oct</v>
      </c>
    </row>
    <row r="197" spans="1:19" x14ac:dyDescent="0.3">
      <c r="A197" t="s">
        <v>506</v>
      </c>
      <c r="B197" t="s">
        <v>166</v>
      </c>
      <c r="C197" t="s">
        <v>32</v>
      </c>
      <c r="D197">
        <v>68</v>
      </c>
      <c r="E197" t="s">
        <v>54</v>
      </c>
      <c r="F197" t="s">
        <v>40</v>
      </c>
      <c r="G197" t="s">
        <v>62</v>
      </c>
      <c r="H197" s="3" t="s">
        <v>333</v>
      </c>
      <c r="I197" s="3" t="s">
        <v>157</v>
      </c>
      <c r="J197" t="s">
        <v>27</v>
      </c>
      <c r="K197">
        <v>43815</v>
      </c>
      <c r="L197" t="s">
        <v>58</v>
      </c>
      <c r="M197">
        <v>8</v>
      </c>
      <c r="N197" t="s">
        <v>77</v>
      </c>
      <c r="O197" t="str">
        <f t="shared" si="16"/>
        <v>Senior</v>
      </c>
      <c r="P197">
        <f t="shared" si="17"/>
        <v>2024</v>
      </c>
      <c r="Q197" t="str">
        <f t="shared" si="18"/>
        <v>Dec</v>
      </c>
      <c r="R197">
        <f t="shared" si="19"/>
        <v>2024</v>
      </c>
      <c r="S197" t="str">
        <f t="shared" si="20"/>
        <v>Nov</v>
      </c>
    </row>
    <row r="198" spans="1:19" x14ac:dyDescent="0.3">
      <c r="A198" t="s">
        <v>507</v>
      </c>
      <c r="B198" t="s">
        <v>101</v>
      </c>
      <c r="C198" t="s">
        <v>32</v>
      </c>
      <c r="D198">
        <v>46</v>
      </c>
      <c r="E198" t="s">
        <v>60</v>
      </c>
      <c r="F198" t="s">
        <v>23</v>
      </c>
      <c r="G198" t="s">
        <v>24</v>
      </c>
      <c r="H198" s="3" t="s">
        <v>365</v>
      </c>
      <c r="I198" s="3" t="s">
        <v>508</v>
      </c>
      <c r="J198" t="s">
        <v>27</v>
      </c>
      <c r="K198">
        <v>29909</v>
      </c>
      <c r="L198" t="s">
        <v>58</v>
      </c>
      <c r="M198">
        <v>7</v>
      </c>
      <c r="N198" t="s">
        <v>29</v>
      </c>
      <c r="O198" t="str">
        <f t="shared" si="16"/>
        <v>Adult</v>
      </c>
      <c r="P198">
        <f t="shared" si="17"/>
        <v>2024</v>
      </c>
      <c r="Q198" t="str">
        <f t="shared" si="18"/>
        <v>Jul</v>
      </c>
      <c r="R198">
        <f t="shared" si="19"/>
        <v>2024</v>
      </c>
      <c r="S198" t="str">
        <f t="shared" si="20"/>
        <v>Jul</v>
      </c>
    </row>
    <row r="199" spans="1:19" x14ac:dyDescent="0.3">
      <c r="A199" t="s">
        <v>509</v>
      </c>
      <c r="B199" t="s">
        <v>101</v>
      </c>
      <c r="C199" t="s">
        <v>21</v>
      </c>
      <c r="D199">
        <v>83</v>
      </c>
      <c r="E199" t="s">
        <v>74</v>
      </c>
      <c r="F199" t="s">
        <v>68</v>
      </c>
      <c r="G199" t="s">
        <v>41</v>
      </c>
      <c r="H199" s="3" t="s">
        <v>329</v>
      </c>
      <c r="I199" s="3" t="s">
        <v>330</v>
      </c>
      <c r="J199" t="s">
        <v>36</v>
      </c>
      <c r="K199">
        <v>22457</v>
      </c>
      <c r="L199" t="s">
        <v>28</v>
      </c>
      <c r="M199">
        <v>3</v>
      </c>
      <c r="N199" t="s">
        <v>77</v>
      </c>
      <c r="O199" t="str">
        <f t="shared" si="16"/>
        <v>Senior</v>
      </c>
      <c r="P199">
        <f t="shared" si="17"/>
        <v>2024</v>
      </c>
      <c r="Q199" t="str">
        <f t="shared" si="18"/>
        <v>Apr</v>
      </c>
      <c r="R199">
        <f t="shared" si="19"/>
        <v>2024</v>
      </c>
      <c r="S199" t="str">
        <f t="shared" si="20"/>
        <v>Apr</v>
      </c>
    </row>
    <row r="200" spans="1:19" x14ac:dyDescent="0.3">
      <c r="A200" t="s">
        <v>510</v>
      </c>
      <c r="B200" t="s">
        <v>79</v>
      </c>
      <c r="C200" t="s">
        <v>21</v>
      </c>
      <c r="D200">
        <v>59</v>
      </c>
      <c r="E200" t="s">
        <v>54</v>
      </c>
      <c r="F200" t="s">
        <v>80</v>
      </c>
      <c r="G200" t="s">
        <v>88</v>
      </c>
      <c r="H200" s="3" t="s">
        <v>164</v>
      </c>
      <c r="I200" s="3" t="s">
        <v>511</v>
      </c>
      <c r="J200" t="s">
        <v>44</v>
      </c>
      <c r="K200">
        <v>83092</v>
      </c>
      <c r="L200" t="s">
        <v>58</v>
      </c>
      <c r="M200">
        <v>2</v>
      </c>
      <c r="N200" t="s">
        <v>29</v>
      </c>
      <c r="O200" t="str">
        <f t="shared" si="16"/>
        <v>Adult</v>
      </c>
      <c r="P200">
        <f t="shared" si="17"/>
        <v>2024</v>
      </c>
      <c r="Q200" t="str">
        <f t="shared" si="18"/>
        <v>Jan</v>
      </c>
      <c r="R200">
        <f t="shared" si="19"/>
        <v>2024</v>
      </c>
      <c r="S200" t="str">
        <f t="shared" si="20"/>
        <v>Jan</v>
      </c>
    </row>
    <row r="201" spans="1:19" x14ac:dyDescent="0.3">
      <c r="A201" t="s">
        <v>512</v>
      </c>
      <c r="B201" t="s">
        <v>105</v>
      </c>
      <c r="C201" t="s">
        <v>32</v>
      </c>
      <c r="D201">
        <v>57</v>
      </c>
      <c r="E201" t="s">
        <v>60</v>
      </c>
      <c r="F201" t="s">
        <v>40</v>
      </c>
      <c r="G201" t="s">
        <v>41</v>
      </c>
      <c r="H201" s="3" t="s">
        <v>346</v>
      </c>
      <c r="I201" s="3" t="s">
        <v>339</v>
      </c>
      <c r="J201" t="s">
        <v>65</v>
      </c>
      <c r="K201">
        <v>34871</v>
      </c>
      <c r="L201" t="s">
        <v>58</v>
      </c>
      <c r="M201">
        <v>10</v>
      </c>
      <c r="N201" t="s">
        <v>77</v>
      </c>
      <c r="O201" t="str">
        <f t="shared" si="16"/>
        <v>Adult</v>
      </c>
      <c r="P201">
        <f t="shared" si="17"/>
        <v>2024</v>
      </c>
      <c r="Q201" t="str">
        <f t="shared" si="18"/>
        <v>Mar</v>
      </c>
      <c r="R201">
        <f t="shared" si="19"/>
        <v>2024</v>
      </c>
      <c r="S201" t="str">
        <f t="shared" si="20"/>
        <v>Mar</v>
      </c>
    </row>
    <row r="202" spans="1:19" x14ac:dyDescent="0.3">
      <c r="A202" t="s">
        <v>513</v>
      </c>
      <c r="B202" t="s">
        <v>144</v>
      </c>
      <c r="C202" t="s">
        <v>32</v>
      </c>
      <c r="D202">
        <v>54</v>
      </c>
      <c r="E202" t="s">
        <v>49</v>
      </c>
      <c r="F202" t="s">
        <v>40</v>
      </c>
      <c r="G202" t="s">
        <v>24</v>
      </c>
      <c r="H202" s="3" t="s">
        <v>115</v>
      </c>
      <c r="I202" s="3" t="s">
        <v>514</v>
      </c>
      <c r="J202" t="s">
        <v>36</v>
      </c>
      <c r="K202">
        <v>60624</v>
      </c>
      <c r="L202" t="s">
        <v>28</v>
      </c>
      <c r="M202">
        <v>7</v>
      </c>
      <c r="N202" t="s">
        <v>77</v>
      </c>
      <c r="O202" t="str">
        <f t="shared" si="16"/>
        <v>Adult</v>
      </c>
      <c r="P202">
        <f t="shared" si="17"/>
        <v>2024</v>
      </c>
      <c r="Q202" t="str">
        <f t="shared" si="18"/>
        <v>Jun</v>
      </c>
      <c r="R202">
        <f t="shared" si="19"/>
        <v>2024</v>
      </c>
      <c r="S202" t="str">
        <f t="shared" si="20"/>
        <v>Jun</v>
      </c>
    </row>
    <row r="203" spans="1:19" x14ac:dyDescent="0.3">
      <c r="A203" t="s">
        <v>515</v>
      </c>
      <c r="B203" t="s">
        <v>118</v>
      </c>
      <c r="C203" t="s">
        <v>32</v>
      </c>
      <c r="D203">
        <v>8</v>
      </c>
      <c r="E203" t="s">
        <v>39</v>
      </c>
      <c r="F203" t="s">
        <v>23</v>
      </c>
      <c r="G203" t="s">
        <v>62</v>
      </c>
      <c r="H203" s="3" t="s">
        <v>378</v>
      </c>
      <c r="I203" s="3" t="s">
        <v>92</v>
      </c>
      <c r="J203" t="s">
        <v>36</v>
      </c>
      <c r="K203">
        <v>35733</v>
      </c>
      <c r="L203" t="s">
        <v>58</v>
      </c>
      <c r="M203">
        <v>5</v>
      </c>
      <c r="N203" t="s">
        <v>29</v>
      </c>
      <c r="O203" t="str">
        <f t="shared" si="16"/>
        <v>Child</v>
      </c>
      <c r="P203">
        <f t="shared" si="17"/>
        <v>2024</v>
      </c>
      <c r="Q203" t="str">
        <f t="shared" si="18"/>
        <v>May</v>
      </c>
      <c r="R203">
        <f t="shared" si="19"/>
        <v>2024</v>
      </c>
      <c r="S203" t="str">
        <f t="shared" si="20"/>
        <v>Apr</v>
      </c>
    </row>
    <row r="204" spans="1:19" x14ac:dyDescent="0.3">
      <c r="A204" t="s">
        <v>516</v>
      </c>
      <c r="B204" t="s">
        <v>67</v>
      </c>
      <c r="C204" t="s">
        <v>21</v>
      </c>
      <c r="D204">
        <v>31</v>
      </c>
      <c r="E204" t="s">
        <v>22</v>
      </c>
      <c r="F204" t="s">
        <v>55</v>
      </c>
      <c r="G204" t="s">
        <v>81</v>
      </c>
      <c r="H204" s="3" t="s">
        <v>134</v>
      </c>
      <c r="I204" s="3" t="s">
        <v>517</v>
      </c>
      <c r="J204" t="s">
        <v>103</v>
      </c>
      <c r="K204">
        <v>47048</v>
      </c>
      <c r="L204" t="s">
        <v>28</v>
      </c>
      <c r="M204">
        <v>8</v>
      </c>
      <c r="N204" t="s">
        <v>29</v>
      </c>
      <c r="O204" t="str">
        <f t="shared" si="16"/>
        <v>Adult</v>
      </c>
      <c r="P204">
        <f t="shared" si="17"/>
        <v>2025</v>
      </c>
      <c r="Q204" t="str">
        <f t="shared" si="18"/>
        <v>Jan</v>
      </c>
      <c r="R204">
        <f t="shared" si="19"/>
        <v>2024</v>
      </c>
      <c r="S204" t="str">
        <f t="shared" si="20"/>
        <v>Dec</v>
      </c>
    </row>
    <row r="205" spans="1:19" x14ac:dyDescent="0.3">
      <c r="A205" t="s">
        <v>518</v>
      </c>
      <c r="B205" t="s">
        <v>122</v>
      </c>
      <c r="C205" t="s">
        <v>21</v>
      </c>
      <c r="D205">
        <v>79</v>
      </c>
      <c r="E205" t="s">
        <v>49</v>
      </c>
      <c r="F205" t="s">
        <v>68</v>
      </c>
      <c r="G205" t="s">
        <v>111</v>
      </c>
      <c r="H205" s="3" t="s">
        <v>519</v>
      </c>
      <c r="I205" s="3" t="s">
        <v>357</v>
      </c>
      <c r="J205" t="s">
        <v>65</v>
      </c>
      <c r="K205">
        <v>31875</v>
      </c>
      <c r="L205" t="s">
        <v>45</v>
      </c>
      <c r="M205">
        <v>6</v>
      </c>
      <c r="N205" t="s">
        <v>29</v>
      </c>
      <c r="O205" t="str">
        <f t="shared" si="16"/>
        <v>Senior</v>
      </c>
      <c r="P205">
        <f t="shared" si="17"/>
        <v>2024</v>
      </c>
      <c r="Q205" t="str">
        <f t="shared" si="18"/>
        <v>Jun</v>
      </c>
      <c r="R205">
        <f t="shared" si="19"/>
        <v>2024</v>
      </c>
      <c r="S205" t="str">
        <f t="shared" si="20"/>
        <v>Jun</v>
      </c>
    </row>
    <row r="206" spans="1:19" x14ac:dyDescent="0.3">
      <c r="A206" t="s">
        <v>520</v>
      </c>
      <c r="B206" t="s">
        <v>118</v>
      </c>
      <c r="C206" t="s">
        <v>32</v>
      </c>
      <c r="D206">
        <v>47</v>
      </c>
      <c r="E206" t="s">
        <v>39</v>
      </c>
      <c r="F206" t="s">
        <v>80</v>
      </c>
      <c r="G206" t="s">
        <v>41</v>
      </c>
      <c r="H206" s="3" t="s">
        <v>310</v>
      </c>
      <c r="I206" s="3" t="s">
        <v>521</v>
      </c>
      <c r="J206" t="s">
        <v>44</v>
      </c>
      <c r="K206">
        <v>53081</v>
      </c>
      <c r="L206" t="s">
        <v>45</v>
      </c>
      <c r="M206">
        <v>8</v>
      </c>
      <c r="N206" t="s">
        <v>77</v>
      </c>
      <c r="O206" t="str">
        <f t="shared" si="16"/>
        <v>Adult</v>
      </c>
      <c r="P206">
        <f t="shared" si="17"/>
        <v>2024</v>
      </c>
      <c r="Q206" t="str">
        <f t="shared" si="18"/>
        <v>Feb</v>
      </c>
      <c r="R206">
        <f t="shared" si="19"/>
        <v>2024</v>
      </c>
      <c r="S206" t="str">
        <f t="shared" si="20"/>
        <v>Feb</v>
      </c>
    </row>
    <row r="207" spans="1:19" x14ac:dyDescent="0.3">
      <c r="A207" t="s">
        <v>522</v>
      </c>
      <c r="B207" t="s">
        <v>122</v>
      </c>
      <c r="C207" t="s">
        <v>32</v>
      </c>
      <c r="D207">
        <v>84</v>
      </c>
      <c r="E207" t="s">
        <v>39</v>
      </c>
      <c r="F207" t="s">
        <v>55</v>
      </c>
      <c r="G207" t="s">
        <v>62</v>
      </c>
      <c r="H207" s="3" t="s">
        <v>523</v>
      </c>
      <c r="I207" s="3" t="s">
        <v>365</v>
      </c>
      <c r="J207" t="s">
        <v>36</v>
      </c>
      <c r="K207">
        <v>63603</v>
      </c>
      <c r="L207" t="s">
        <v>58</v>
      </c>
      <c r="M207">
        <v>3</v>
      </c>
      <c r="N207" t="s">
        <v>77</v>
      </c>
      <c r="O207" t="str">
        <f t="shared" si="16"/>
        <v>Senior</v>
      </c>
      <c r="P207">
        <f t="shared" si="17"/>
        <v>2024</v>
      </c>
      <c r="Q207" t="str">
        <f t="shared" si="18"/>
        <v>Jul</v>
      </c>
      <c r="R207">
        <f t="shared" si="19"/>
        <v>2024</v>
      </c>
      <c r="S207" t="str">
        <f t="shared" si="20"/>
        <v>Jul</v>
      </c>
    </row>
    <row r="208" spans="1:19" x14ac:dyDescent="0.3">
      <c r="A208" t="s">
        <v>524</v>
      </c>
      <c r="B208" t="s">
        <v>166</v>
      </c>
      <c r="C208" t="s">
        <v>21</v>
      </c>
      <c r="D208">
        <v>7</v>
      </c>
      <c r="E208" t="s">
        <v>33</v>
      </c>
      <c r="F208" t="s">
        <v>80</v>
      </c>
      <c r="G208" t="s">
        <v>111</v>
      </c>
      <c r="H208" s="3" t="s">
        <v>313</v>
      </c>
      <c r="I208" s="3" t="s">
        <v>525</v>
      </c>
      <c r="J208" t="s">
        <v>71</v>
      </c>
      <c r="K208">
        <v>27244</v>
      </c>
      <c r="L208" t="s">
        <v>28</v>
      </c>
      <c r="M208">
        <v>6</v>
      </c>
      <c r="N208" t="s">
        <v>46</v>
      </c>
      <c r="O208" t="str">
        <f t="shared" si="16"/>
        <v>Child</v>
      </c>
      <c r="P208">
        <f t="shared" si="17"/>
        <v>2024</v>
      </c>
      <c r="Q208" t="str">
        <f t="shared" si="18"/>
        <v>Aug</v>
      </c>
      <c r="R208">
        <f t="shared" si="19"/>
        <v>2024</v>
      </c>
      <c r="S208" t="str">
        <f t="shared" si="20"/>
        <v>Aug</v>
      </c>
    </row>
    <row r="209" spans="1:19" x14ac:dyDescent="0.3">
      <c r="A209" t="s">
        <v>526</v>
      </c>
      <c r="B209" t="s">
        <v>179</v>
      </c>
      <c r="C209" t="s">
        <v>32</v>
      </c>
      <c r="D209">
        <v>44</v>
      </c>
      <c r="E209" t="s">
        <v>60</v>
      </c>
      <c r="F209" t="s">
        <v>40</v>
      </c>
      <c r="G209" t="s">
        <v>88</v>
      </c>
      <c r="H209" s="3" t="s">
        <v>149</v>
      </c>
      <c r="I209" s="3" t="s">
        <v>237</v>
      </c>
      <c r="J209" t="s">
        <v>71</v>
      </c>
      <c r="K209">
        <v>82981</v>
      </c>
      <c r="L209" t="s">
        <v>45</v>
      </c>
      <c r="M209">
        <v>3</v>
      </c>
      <c r="N209" t="s">
        <v>46</v>
      </c>
      <c r="O209" t="str">
        <f t="shared" si="16"/>
        <v>Adult</v>
      </c>
      <c r="P209">
        <f t="shared" si="17"/>
        <v>2024</v>
      </c>
      <c r="Q209" t="str">
        <f t="shared" si="18"/>
        <v>Mar</v>
      </c>
      <c r="R209">
        <f t="shared" si="19"/>
        <v>2024</v>
      </c>
      <c r="S209" t="str">
        <f t="shared" si="20"/>
        <v>Feb</v>
      </c>
    </row>
    <row r="210" spans="1:19" x14ac:dyDescent="0.3">
      <c r="A210" t="s">
        <v>527</v>
      </c>
      <c r="B210" t="s">
        <v>20</v>
      </c>
      <c r="C210" t="s">
        <v>21</v>
      </c>
      <c r="D210">
        <v>46</v>
      </c>
      <c r="E210" t="s">
        <v>22</v>
      </c>
      <c r="F210" t="s">
        <v>23</v>
      </c>
      <c r="G210" t="s">
        <v>41</v>
      </c>
      <c r="H210" s="3" t="s">
        <v>212</v>
      </c>
      <c r="I210" s="3" t="s">
        <v>247</v>
      </c>
      <c r="J210" t="s">
        <v>52</v>
      </c>
      <c r="K210">
        <v>10964</v>
      </c>
      <c r="L210" t="s">
        <v>58</v>
      </c>
      <c r="M210">
        <v>6</v>
      </c>
      <c r="N210" t="s">
        <v>77</v>
      </c>
      <c r="O210" t="str">
        <f t="shared" si="16"/>
        <v>Adult</v>
      </c>
      <c r="P210">
        <f t="shared" si="17"/>
        <v>2024</v>
      </c>
      <c r="Q210" t="str">
        <f t="shared" si="18"/>
        <v>Dec</v>
      </c>
      <c r="R210">
        <f t="shared" si="19"/>
        <v>2024</v>
      </c>
      <c r="S210" t="str">
        <f t="shared" si="20"/>
        <v>Dec</v>
      </c>
    </row>
    <row r="211" spans="1:19" x14ac:dyDescent="0.3">
      <c r="A211" t="s">
        <v>528</v>
      </c>
      <c r="B211" t="s">
        <v>109</v>
      </c>
      <c r="C211" t="s">
        <v>21</v>
      </c>
      <c r="D211">
        <v>68</v>
      </c>
      <c r="E211" t="s">
        <v>54</v>
      </c>
      <c r="F211" t="s">
        <v>80</v>
      </c>
      <c r="G211" t="s">
        <v>62</v>
      </c>
      <c r="H211" s="3" t="s">
        <v>529</v>
      </c>
      <c r="I211" s="3" t="s">
        <v>469</v>
      </c>
      <c r="J211" t="s">
        <v>36</v>
      </c>
      <c r="K211">
        <v>70039</v>
      </c>
      <c r="L211" t="s">
        <v>45</v>
      </c>
      <c r="M211">
        <v>10</v>
      </c>
      <c r="N211" t="s">
        <v>77</v>
      </c>
      <c r="O211" t="str">
        <f t="shared" si="16"/>
        <v>Senior</v>
      </c>
      <c r="P211">
        <f t="shared" si="17"/>
        <v>2024</v>
      </c>
      <c r="Q211" t="str">
        <f t="shared" si="18"/>
        <v>Oct</v>
      </c>
      <c r="R211">
        <f t="shared" si="19"/>
        <v>2024</v>
      </c>
      <c r="S211" t="str">
        <f t="shared" si="20"/>
        <v>Oct</v>
      </c>
    </row>
    <row r="212" spans="1:19" x14ac:dyDescent="0.3">
      <c r="A212" t="s">
        <v>530</v>
      </c>
      <c r="B212" t="s">
        <v>140</v>
      </c>
      <c r="C212" t="s">
        <v>21</v>
      </c>
      <c r="D212">
        <v>44</v>
      </c>
      <c r="E212" t="s">
        <v>49</v>
      </c>
      <c r="F212" t="s">
        <v>68</v>
      </c>
      <c r="G212" t="s">
        <v>81</v>
      </c>
      <c r="H212" s="3" t="s">
        <v>531</v>
      </c>
      <c r="I212" s="3" t="s">
        <v>297</v>
      </c>
      <c r="J212" t="s">
        <v>44</v>
      </c>
      <c r="K212">
        <v>51832</v>
      </c>
      <c r="L212" t="s">
        <v>45</v>
      </c>
      <c r="M212">
        <v>7</v>
      </c>
      <c r="N212" t="s">
        <v>46</v>
      </c>
      <c r="O212" t="str">
        <f t="shared" si="16"/>
        <v>Adult</v>
      </c>
      <c r="P212">
        <f t="shared" si="17"/>
        <v>2024</v>
      </c>
      <c r="Q212" t="str">
        <f t="shared" si="18"/>
        <v>May</v>
      </c>
      <c r="R212">
        <f t="shared" si="19"/>
        <v>2024</v>
      </c>
      <c r="S212" t="str">
        <f t="shared" si="20"/>
        <v>May</v>
      </c>
    </row>
    <row r="213" spans="1:19" x14ac:dyDescent="0.3">
      <c r="A213" t="s">
        <v>532</v>
      </c>
      <c r="B213" t="s">
        <v>101</v>
      </c>
      <c r="C213" t="s">
        <v>32</v>
      </c>
      <c r="D213">
        <v>22</v>
      </c>
      <c r="E213" t="s">
        <v>60</v>
      </c>
      <c r="F213" t="s">
        <v>61</v>
      </c>
      <c r="G213" t="s">
        <v>88</v>
      </c>
      <c r="H213" s="3" t="s">
        <v>479</v>
      </c>
      <c r="I213" s="3" t="s">
        <v>112</v>
      </c>
      <c r="J213" t="s">
        <v>36</v>
      </c>
      <c r="K213">
        <v>79965</v>
      </c>
      <c r="L213" t="s">
        <v>58</v>
      </c>
      <c r="M213">
        <v>5</v>
      </c>
      <c r="N213" t="s">
        <v>77</v>
      </c>
      <c r="O213" t="str">
        <f t="shared" si="16"/>
        <v>Adult</v>
      </c>
      <c r="P213">
        <f t="shared" si="17"/>
        <v>2024</v>
      </c>
      <c r="Q213" t="str">
        <f t="shared" si="18"/>
        <v>Jun</v>
      </c>
      <c r="R213">
        <f t="shared" si="19"/>
        <v>2024</v>
      </c>
      <c r="S213" t="str">
        <f t="shared" si="20"/>
        <v>Jun</v>
      </c>
    </row>
    <row r="214" spans="1:19" x14ac:dyDescent="0.3">
      <c r="A214" t="s">
        <v>533</v>
      </c>
      <c r="B214" t="s">
        <v>129</v>
      </c>
      <c r="C214" t="s">
        <v>21</v>
      </c>
      <c r="D214">
        <v>26</v>
      </c>
      <c r="E214" t="s">
        <v>39</v>
      </c>
      <c r="F214" t="s">
        <v>80</v>
      </c>
      <c r="G214" t="s">
        <v>88</v>
      </c>
      <c r="H214" s="3" t="s">
        <v>112</v>
      </c>
      <c r="I214" s="3" t="s">
        <v>534</v>
      </c>
      <c r="J214" t="s">
        <v>52</v>
      </c>
      <c r="K214">
        <v>18721</v>
      </c>
      <c r="L214" t="s">
        <v>45</v>
      </c>
      <c r="M214">
        <v>8</v>
      </c>
      <c r="N214" t="s">
        <v>46</v>
      </c>
      <c r="O214" t="str">
        <f t="shared" si="16"/>
        <v>Adult</v>
      </c>
      <c r="P214">
        <f t="shared" si="17"/>
        <v>2024</v>
      </c>
      <c r="Q214" t="str">
        <f t="shared" si="18"/>
        <v>Jun</v>
      </c>
      <c r="R214">
        <f t="shared" si="19"/>
        <v>2024</v>
      </c>
      <c r="S214" t="str">
        <f t="shared" si="20"/>
        <v>Jun</v>
      </c>
    </row>
    <row r="215" spans="1:19" x14ac:dyDescent="0.3">
      <c r="A215" t="s">
        <v>535</v>
      </c>
      <c r="B215" t="s">
        <v>48</v>
      </c>
      <c r="C215" t="s">
        <v>21</v>
      </c>
      <c r="D215">
        <v>43</v>
      </c>
      <c r="E215" t="s">
        <v>60</v>
      </c>
      <c r="F215" t="s">
        <v>40</v>
      </c>
      <c r="G215" t="s">
        <v>62</v>
      </c>
      <c r="H215" s="3" t="s">
        <v>354</v>
      </c>
      <c r="I215" s="3" t="s">
        <v>536</v>
      </c>
      <c r="J215" t="s">
        <v>44</v>
      </c>
      <c r="K215">
        <v>62155</v>
      </c>
      <c r="L215" t="s">
        <v>28</v>
      </c>
      <c r="M215">
        <v>2</v>
      </c>
      <c r="N215" t="s">
        <v>77</v>
      </c>
      <c r="O215" t="str">
        <f t="shared" si="16"/>
        <v>Adult</v>
      </c>
      <c r="P215">
        <f t="shared" si="17"/>
        <v>2024</v>
      </c>
      <c r="Q215" t="str">
        <f t="shared" si="18"/>
        <v>Nov</v>
      </c>
      <c r="R215">
        <f t="shared" si="19"/>
        <v>2024</v>
      </c>
      <c r="S215" t="str">
        <f t="shared" si="20"/>
        <v>Nov</v>
      </c>
    </row>
    <row r="216" spans="1:19" x14ac:dyDescent="0.3">
      <c r="A216" t="s">
        <v>537</v>
      </c>
      <c r="B216" t="s">
        <v>173</v>
      </c>
      <c r="C216" t="s">
        <v>21</v>
      </c>
      <c r="D216">
        <v>4</v>
      </c>
      <c r="E216" t="s">
        <v>39</v>
      </c>
      <c r="F216" t="s">
        <v>110</v>
      </c>
      <c r="G216" t="s">
        <v>24</v>
      </c>
      <c r="H216" s="3" t="s">
        <v>217</v>
      </c>
      <c r="I216" s="3" t="s">
        <v>538</v>
      </c>
      <c r="J216" t="s">
        <v>27</v>
      </c>
      <c r="K216">
        <v>97218</v>
      </c>
      <c r="L216" t="s">
        <v>45</v>
      </c>
      <c r="M216">
        <v>4</v>
      </c>
      <c r="N216" t="s">
        <v>46</v>
      </c>
      <c r="O216" t="str">
        <f t="shared" si="16"/>
        <v>Child</v>
      </c>
      <c r="P216">
        <f t="shared" si="17"/>
        <v>2024</v>
      </c>
      <c r="Q216" t="str">
        <f t="shared" si="18"/>
        <v>Feb</v>
      </c>
      <c r="R216">
        <f t="shared" si="19"/>
        <v>2024</v>
      </c>
      <c r="S216" t="str">
        <f t="shared" si="20"/>
        <v>Feb</v>
      </c>
    </row>
    <row r="217" spans="1:19" x14ac:dyDescent="0.3">
      <c r="A217" t="s">
        <v>539</v>
      </c>
      <c r="B217" t="s">
        <v>31</v>
      </c>
      <c r="C217" t="s">
        <v>21</v>
      </c>
      <c r="D217">
        <v>55</v>
      </c>
      <c r="E217" t="s">
        <v>39</v>
      </c>
      <c r="F217" t="s">
        <v>23</v>
      </c>
      <c r="G217" t="s">
        <v>41</v>
      </c>
      <c r="H217" s="3" t="s">
        <v>357</v>
      </c>
      <c r="I217" s="3" t="s">
        <v>214</v>
      </c>
      <c r="J217" t="s">
        <v>71</v>
      </c>
      <c r="K217">
        <v>41677</v>
      </c>
      <c r="L217" t="s">
        <v>28</v>
      </c>
      <c r="M217">
        <v>2</v>
      </c>
      <c r="N217" t="s">
        <v>77</v>
      </c>
      <c r="O217" t="str">
        <f t="shared" si="16"/>
        <v>Adult</v>
      </c>
      <c r="P217">
        <f t="shared" si="17"/>
        <v>2024</v>
      </c>
      <c r="Q217" t="str">
        <f t="shared" si="18"/>
        <v>Jun</v>
      </c>
      <c r="R217">
        <f t="shared" si="19"/>
        <v>2024</v>
      </c>
      <c r="S217" t="str">
        <f t="shared" si="20"/>
        <v>Jun</v>
      </c>
    </row>
    <row r="218" spans="1:19" x14ac:dyDescent="0.3">
      <c r="A218" t="s">
        <v>540</v>
      </c>
      <c r="B218" t="s">
        <v>101</v>
      </c>
      <c r="C218" t="s">
        <v>32</v>
      </c>
      <c r="D218">
        <v>17</v>
      </c>
      <c r="E218" t="s">
        <v>74</v>
      </c>
      <c r="F218" t="s">
        <v>61</v>
      </c>
      <c r="G218" t="s">
        <v>24</v>
      </c>
      <c r="H218" s="3" t="s">
        <v>168</v>
      </c>
      <c r="I218" s="3" t="s">
        <v>494</v>
      </c>
      <c r="J218" t="s">
        <v>65</v>
      </c>
      <c r="K218">
        <v>37428</v>
      </c>
      <c r="L218" t="s">
        <v>28</v>
      </c>
      <c r="M218">
        <v>2</v>
      </c>
      <c r="N218" t="s">
        <v>77</v>
      </c>
      <c r="O218" t="str">
        <f t="shared" si="16"/>
        <v>Child</v>
      </c>
      <c r="P218">
        <f t="shared" si="17"/>
        <v>2024</v>
      </c>
      <c r="Q218" t="str">
        <f t="shared" si="18"/>
        <v>Sep</v>
      </c>
      <c r="R218">
        <f t="shared" si="19"/>
        <v>2024</v>
      </c>
      <c r="S218" t="str">
        <f t="shared" si="20"/>
        <v>Sep</v>
      </c>
    </row>
    <row r="219" spans="1:19" x14ac:dyDescent="0.3">
      <c r="A219" t="s">
        <v>541</v>
      </c>
      <c r="B219" t="s">
        <v>48</v>
      </c>
      <c r="C219" t="s">
        <v>21</v>
      </c>
      <c r="D219">
        <v>46</v>
      </c>
      <c r="E219" t="s">
        <v>33</v>
      </c>
      <c r="F219" t="s">
        <v>110</v>
      </c>
      <c r="G219" t="s">
        <v>111</v>
      </c>
      <c r="H219" s="3" t="s">
        <v>494</v>
      </c>
      <c r="I219" s="3" t="s">
        <v>244</v>
      </c>
      <c r="J219" t="s">
        <v>65</v>
      </c>
      <c r="K219">
        <v>34719</v>
      </c>
      <c r="L219" t="s">
        <v>28</v>
      </c>
      <c r="M219">
        <v>5</v>
      </c>
      <c r="N219" t="s">
        <v>29</v>
      </c>
      <c r="O219" t="str">
        <f t="shared" si="16"/>
        <v>Adult</v>
      </c>
      <c r="P219">
        <f t="shared" si="17"/>
        <v>2024</v>
      </c>
      <c r="Q219" t="str">
        <f t="shared" si="18"/>
        <v>Sep</v>
      </c>
      <c r="R219">
        <f t="shared" si="19"/>
        <v>2024</v>
      </c>
      <c r="S219" t="str">
        <f t="shared" si="20"/>
        <v>Sep</v>
      </c>
    </row>
    <row r="220" spans="1:19" x14ac:dyDescent="0.3">
      <c r="A220" t="s">
        <v>542</v>
      </c>
      <c r="B220" t="s">
        <v>118</v>
      </c>
      <c r="C220" t="s">
        <v>32</v>
      </c>
      <c r="D220">
        <v>17</v>
      </c>
      <c r="E220" t="s">
        <v>33</v>
      </c>
      <c r="F220" t="s">
        <v>68</v>
      </c>
      <c r="G220" t="s">
        <v>62</v>
      </c>
      <c r="H220" s="3" t="s">
        <v>253</v>
      </c>
      <c r="I220" s="3" t="s">
        <v>285</v>
      </c>
      <c r="J220" t="s">
        <v>52</v>
      </c>
      <c r="K220">
        <v>74196</v>
      </c>
      <c r="L220" t="s">
        <v>45</v>
      </c>
      <c r="M220">
        <v>5</v>
      </c>
      <c r="N220" t="s">
        <v>77</v>
      </c>
      <c r="O220" t="str">
        <f t="shared" si="16"/>
        <v>Child</v>
      </c>
      <c r="P220">
        <f t="shared" si="17"/>
        <v>2024</v>
      </c>
      <c r="Q220" t="str">
        <f t="shared" si="18"/>
        <v>Sep</v>
      </c>
      <c r="R220">
        <f t="shared" si="19"/>
        <v>2024</v>
      </c>
      <c r="S220" t="str">
        <f t="shared" si="20"/>
        <v>Sep</v>
      </c>
    </row>
    <row r="221" spans="1:19" x14ac:dyDescent="0.3">
      <c r="A221" t="s">
        <v>543</v>
      </c>
      <c r="B221" t="s">
        <v>140</v>
      </c>
      <c r="C221" t="s">
        <v>32</v>
      </c>
      <c r="D221">
        <v>9</v>
      </c>
      <c r="E221" t="s">
        <v>60</v>
      </c>
      <c r="F221" t="s">
        <v>40</v>
      </c>
      <c r="G221" t="s">
        <v>88</v>
      </c>
      <c r="H221" s="3" t="s">
        <v>376</v>
      </c>
      <c r="I221" s="3" t="s">
        <v>142</v>
      </c>
      <c r="J221" t="s">
        <v>52</v>
      </c>
      <c r="K221">
        <v>28274</v>
      </c>
      <c r="L221" t="s">
        <v>45</v>
      </c>
      <c r="M221">
        <v>2</v>
      </c>
      <c r="N221" t="s">
        <v>77</v>
      </c>
      <c r="O221" t="str">
        <f t="shared" si="16"/>
        <v>Child</v>
      </c>
      <c r="P221">
        <f t="shared" si="17"/>
        <v>2024</v>
      </c>
      <c r="Q221" t="str">
        <f t="shared" si="18"/>
        <v>Jun</v>
      </c>
      <c r="R221">
        <f t="shared" si="19"/>
        <v>2024</v>
      </c>
      <c r="S221" t="str">
        <f t="shared" si="20"/>
        <v>Jun</v>
      </c>
    </row>
    <row r="222" spans="1:19" x14ac:dyDescent="0.3">
      <c r="A222" t="s">
        <v>544</v>
      </c>
      <c r="B222" t="s">
        <v>38</v>
      </c>
      <c r="C222" t="s">
        <v>32</v>
      </c>
      <c r="D222">
        <v>6</v>
      </c>
      <c r="E222" t="s">
        <v>54</v>
      </c>
      <c r="F222" t="s">
        <v>80</v>
      </c>
      <c r="G222" t="s">
        <v>81</v>
      </c>
      <c r="H222" s="3" t="s">
        <v>545</v>
      </c>
      <c r="I222" s="3" t="s">
        <v>253</v>
      </c>
      <c r="J222" t="s">
        <v>65</v>
      </c>
      <c r="K222">
        <v>18166</v>
      </c>
      <c r="L222" t="s">
        <v>58</v>
      </c>
      <c r="M222">
        <v>4</v>
      </c>
      <c r="N222" t="s">
        <v>29</v>
      </c>
      <c r="O222" t="str">
        <f t="shared" si="16"/>
        <v>Child</v>
      </c>
      <c r="P222">
        <f t="shared" si="17"/>
        <v>2024</v>
      </c>
      <c r="Q222" t="str">
        <f t="shared" si="18"/>
        <v>Sep</v>
      </c>
      <c r="R222">
        <f t="shared" si="19"/>
        <v>2024</v>
      </c>
      <c r="S222" t="str">
        <f t="shared" si="20"/>
        <v>Sep</v>
      </c>
    </row>
    <row r="223" spans="1:19" x14ac:dyDescent="0.3">
      <c r="A223" t="s">
        <v>546</v>
      </c>
      <c r="B223" t="s">
        <v>31</v>
      </c>
      <c r="C223" t="s">
        <v>32</v>
      </c>
      <c r="D223">
        <v>36</v>
      </c>
      <c r="E223" t="s">
        <v>49</v>
      </c>
      <c r="F223" t="s">
        <v>23</v>
      </c>
      <c r="G223" t="s">
        <v>81</v>
      </c>
      <c r="H223" s="3" t="s">
        <v>123</v>
      </c>
      <c r="I223" s="3" t="s">
        <v>547</v>
      </c>
      <c r="J223" t="s">
        <v>44</v>
      </c>
      <c r="K223">
        <v>47045</v>
      </c>
      <c r="L223" t="s">
        <v>45</v>
      </c>
      <c r="M223">
        <v>10</v>
      </c>
      <c r="N223" t="s">
        <v>77</v>
      </c>
      <c r="O223" t="str">
        <f t="shared" si="16"/>
        <v>Adult</v>
      </c>
      <c r="P223">
        <f t="shared" si="17"/>
        <v>2024</v>
      </c>
      <c r="Q223" t="str">
        <f t="shared" si="18"/>
        <v>Apr</v>
      </c>
      <c r="R223">
        <f t="shared" si="19"/>
        <v>2024</v>
      </c>
      <c r="S223" t="str">
        <f t="shared" si="20"/>
        <v>Mar</v>
      </c>
    </row>
    <row r="224" spans="1:19" x14ac:dyDescent="0.3">
      <c r="A224" t="s">
        <v>548</v>
      </c>
      <c r="B224" t="s">
        <v>166</v>
      </c>
      <c r="C224" t="s">
        <v>21</v>
      </c>
      <c r="D224">
        <v>71</v>
      </c>
      <c r="E224" t="s">
        <v>74</v>
      </c>
      <c r="F224" t="s">
        <v>80</v>
      </c>
      <c r="G224" t="s">
        <v>81</v>
      </c>
      <c r="H224" s="3" t="s">
        <v>549</v>
      </c>
      <c r="I224" s="3" t="s">
        <v>429</v>
      </c>
      <c r="J224" t="s">
        <v>44</v>
      </c>
      <c r="K224">
        <v>22007</v>
      </c>
      <c r="L224" t="s">
        <v>45</v>
      </c>
      <c r="M224">
        <v>4</v>
      </c>
      <c r="N224" t="s">
        <v>77</v>
      </c>
      <c r="O224" t="str">
        <f t="shared" si="16"/>
        <v>Senior</v>
      </c>
      <c r="P224">
        <f t="shared" si="17"/>
        <v>2024</v>
      </c>
      <c r="Q224" t="str">
        <f t="shared" si="18"/>
        <v>Jul</v>
      </c>
      <c r="R224">
        <f t="shared" si="19"/>
        <v>2024</v>
      </c>
      <c r="S224" t="str">
        <f t="shared" si="20"/>
        <v>Jul</v>
      </c>
    </row>
    <row r="225" spans="1:19" x14ac:dyDescent="0.3">
      <c r="A225" t="s">
        <v>550</v>
      </c>
      <c r="B225" t="s">
        <v>153</v>
      </c>
      <c r="C225" t="s">
        <v>21</v>
      </c>
      <c r="D225">
        <v>28</v>
      </c>
      <c r="E225" t="s">
        <v>33</v>
      </c>
      <c r="F225" t="s">
        <v>61</v>
      </c>
      <c r="G225" t="s">
        <v>111</v>
      </c>
      <c r="H225" s="3" t="s">
        <v>551</v>
      </c>
      <c r="I225" s="3" t="s">
        <v>155</v>
      </c>
      <c r="J225" t="s">
        <v>103</v>
      </c>
      <c r="K225">
        <v>50952</v>
      </c>
      <c r="L225" t="s">
        <v>58</v>
      </c>
      <c r="M225">
        <v>9</v>
      </c>
      <c r="N225" t="s">
        <v>77</v>
      </c>
      <c r="O225" t="str">
        <f t="shared" si="16"/>
        <v>Adult</v>
      </c>
      <c r="P225">
        <f t="shared" si="17"/>
        <v>2024</v>
      </c>
      <c r="Q225" t="str">
        <f t="shared" si="18"/>
        <v>Aug</v>
      </c>
      <c r="R225">
        <f t="shared" si="19"/>
        <v>2024</v>
      </c>
      <c r="S225" t="str">
        <f t="shared" si="20"/>
        <v>Aug</v>
      </c>
    </row>
    <row r="226" spans="1:19" x14ac:dyDescent="0.3">
      <c r="A226" t="s">
        <v>552</v>
      </c>
      <c r="B226" t="s">
        <v>122</v>
      </c>
      <c r="C226" t="s">
        <v>32</v>
      </c>
      <c r="D226">
        <v>67</v>
      </c>
      <c r="E226" t="s">
        <v>60</v>
      </c>
      <c r="F226" t="s">
        <v>55</v>
      </c>
      <c r="G226" t="s">
        <v>41</v>
      </c>
      <c r="H226" s="3" t="s">
        <v>382</v>
      </c>
      <c r="I226" s="3" t="s">
        <v>553</v>
      </c>
      <c r="J226" t="s">
        <v>44</v>
      </c>
      <c r="K226">
        <v>10611</v>
      </c>
      <c r="L226" t="s">
        <v>28</v>
      </c>
      <c r="M226">
        <v>5</v>
      </c>
      <c r="N226" t="s">
        <v>46</v>
      </c>
      <c r="O226" t="str">
        <f t="shared" si="16"/>
        <v>Senior</v>
      </c>
      <c r="P226">
        <f t="shared" si="17"/>
        <v>2024</v>
      </c>
      <c r="Q226" t="str">
        <f t="shared" si="18"/>
        <v>Nov</v>
      </c>
      <c r="R226">
        <f t="shared" si="19"/>
        <v>2024</v>
      </c>
      <c r="S226" t="str">
        <f t="shared" si="20"/>
        <v>Nov</v>
      </c>
    </row>
    <row r="227" spans="1:19" x14ac:dyDescent="0.3">
      <c r="A227" t="s">
        <v>554</v>
      </c>
      <c r="B227" t="s">
        <v>48</v>
      </c>
      <c r="C227" t="s">
        <v>21</v>
      </c>
      <c r="D227">
        <v>65</v>
      </c>
      <c r="E227" t="s">
        <v>60</v>
      </c>
      <c r="F227" t="s">
        <v>40</v>
      </c>
      <c r="G227" t="s">
        <v>62</v>
      </c>
      <c r="H227" s="3" t="s">
        <v>555</v>
      </c>
      <c r="I227" s="3" t="s">
        <v>70</v>
      </c>
      <c r="J227" t="s">
        <v>65</v>
      </c>
      <c r="K227">
        <v>81254</v>
      </c>
      <c r="L227" t="s">
        <v>45</v>
      </c>
      <c r="M227">
        <v>8</v>
      </c>
      <c r="N227" t="s">
        <v>29</v>
      </c>
      <c r="O227" t="str">
        <f t="shared" si="16"/>
        <v>Senior</v>
      </c>
      <c r="P227">
        <f t="shared" si="17"/>
        <v>2024</v>
      </c>
      <c r="Q227" t="str">
        <f t="shared" si="18"/>
        <v>May</v>
      </c>
      <c r="R227">
        <f t="shared" si="19"/>
        <v>2024</v>
      </c>
      <c r="S227" t="str">
        <f t="shared" si="20"/>
        <v>Apr</v>
      </c>
    </row>
    <row r="228" spans="1:19" x14ac:dyDescent="0.3">
      <c r="A228" t="s">
        <v>556</v>
      </c>
      <c r="B228" t="s">
        <v>166</v>
      </c>
      <c r="C228" t="s">
        <v>32</v>
      </c>
      <c r="D228">
        <v>32</v>
      </c>
      <c r="E228" t="s">
        <v>33</v>
      </c>
      <c r="F228" t="s">
        <v>61</v>
      </c>
      <c r="G228" t="s">
        <v>41</v>
      </c>
      <c r="H228" s="3" t="s">
        <v>443</v>
      </c>
      <c r="I228" s="3" t="s">
        <v>441</v>
      </c>
      <c r="J228" t="s">
        <v>44</v>
      </c>
      <c r="K228">
        <v>90401</v>
      </c>
      <c r="L228" t="s">
        <v>45</v>
      </c>
      <c r="M228">
        <v>7</v>
      </c>
      <c r="N228" t="s">
        <v>77</v>
      </c>
      <c r="O228" t="str">
        <f t="shared" si="16"/>
        <v>Adult</v>
      </c>
      <c r="P228">
        <f t="shared" si="17"/>
        <v>2024</v>
      </c>
      <c r="Q228" t="str">
        <f t="shared" si="18"/>
        <v>Jul</v>
      </c>
      <c r="R228">
        <f t="shared" si="19"/>
        <v>2024</v>
      </c>
      <c r="S228" t="str">
        <f t="shared" si="20"/>
        <v>Jul</v>
      </c>
    </row>
    <row r="229" spans="1:19" x14ac:dyDescent="0.3">
      <c r="A229" t="s">
        <v>557</v>
      </c>
      <c r="B229" t="s">
        <v>166</v>
      </c>
      <c r="C229" t="s">
        <v>21</v>
      </c>
      <c r="D229">
        <v>16</v>
      </c>
      <c r="E229" t="s">
        <v>54</v>
      </c>
      <c r="F229" t="s">
        <v>80</v>
      </c>
      <c r="G229" t="s">
        <v>111</v>
      </c>
      <c r="H229" s="3" t="s">
        <v>558</v>
      </c>
      <c r="I229" s="3" t="s">
        <v>559</v>
      </c>
      <c r="J229" t="s">
        <v>27</v>
      </c>
      <c r="K229">
        <v>46072</v>
      </c>
      <c r="L229" t="s">
        <v>58</v>
      </c>
      <c r="M229">
        <v>5</v>
      </c>
      <c r="N229" t="s">
        <v>77</v>
      </c>
      <c r="O229" t="str">
        <f t="shared" si="16"/>
        <v>Child</v>
      </c>
      <c r="P229">
        <f t="shared" si="17"/>
        <v>2024</v>
      </c>
      <c r="Q229" t="str">
        <f t="shared" si="18"/>
        <v>Mar</v>
      </c>
      <c r="R229">
        <f t="shared" si="19"/>
        <v>2024</v>
      </c>
      <c r="S229" t="str">
        <f t="shared" si="20"/>
        <v>Feb</v>
      </c>
    </row>
    <row r="230" spans="1:19" x14ac:dyDescent="0.3">
      <c r="A230" t="s">
        <v>560</v>
      </c>
      <c r="B230" t="s">
        <v>38</v>
      </c>
      <c r="C230" t="s">
        <v>32</v>
      </c>
      <c r="D230">
        <v>30</v>
      </c>
      <c r="E230" t="s">
        <v>22</v>
      </c>
      <c r="F230" t="s">
        <v>61</v>
      </c>
      <c r="G230" t="s">
        <v>88</v>
      </c>
      <c r="H230" s="3" t="s">
        <v>164</v>
      </c>
      <c r="I230" s="3" t="s">
        <v>181</v>
      </c>
      <c r="J230" t="s">
        <v>71</v>
      </c>
      <c r="K230">
        <v>30079</v>
      </c>
      <c r="L230" t="s">
        <v>45</v>
      </c>
      <c r="M230">
        <v>10</v>
      </c>
      <c r="N230" t="s">
        <v>46</v>
      </c>
      <c r="O230" t="str">
        <f t="shared" si="16"/>
        <v>Adult</v>
      </c>
      <c r="P230">
        <f t="shared" si="17"/>
        <v>2024</v>
      </c>
      <c r="Q230" t="str">
        <f t="shared" si="18"/>
        <v>Jan</v>
      </c>
      <c r="R230">
        <f t="shared" si="19"/>
        <v>2024</v>
      </c>
      <c r="S230" t="str">
        <f t="shared" si="20"/>
        <v>Jan</v>
      </c>
    </row>
    <row r="231" spans="1:19" x14ac:dyDescent="0.3">
      <c r="A231" t="s">
        <v>561</v>
      </c>
      <c r="B231" t="s">
        <v>118</v>
      </c>
      <c r="C231" t="s">
        <v>32</v>
      </c>
      <c r="D231">
        <v>71</v>
      </c>
      <c r="E231" t="s">
        <v>39</v>
      </c>
      <c r="F231" t="s">
        <v>68</v>
      </c>
      <c r="G231" t="s">
        <v>24</v>
      </c>
      <c r="H231" s="3" t="s">
        <v>562</v>
      </c>
      <c r="I231" s="3" t="s">
        <v>70</v>
      </c>
      <c r="J231" t="s">
        <v>52</v>
      </c>
      <c r="K231">
        <v>52448</v>
      </c>
      <c r="L231" t="s">
        <v>28</v>
      </c>
      <c r="M231">
        <v>3</v>
      </c>
      <c r="N231" t="s">
        <v>46</v>
      </c>
      <c r="O231" t="str">
        <f t="shared" si="16"/>
        <v>Senior</v>
      </c>
      <c r="P231">
        <f t="shared" si="17"/>
        <v>2024</v>
      </c>
      <c r="Q231" t="str">
        <f t="shared" si="18"/>
        <v>May</v>
      </c>
      <c r="R231">
        <f t="shared" si="19"/>
        <v>2024</v>
      </c>
      <c r="S231" t="str">
        <f t="shared" si="20"/>
        <v>Apr</v>
      </c>
    </row>
    <row r="232" spans="1:19" x14ac:dyDescent="0.3">
      <c r="A232" t="s">
        <v>563</v>
      </c>
      <c r="B232" t="s">
        <v>38</v>
      </c>
      <c r="C232" t="s">
        <v>32</v>
      </c>
      <c r="D232">
        <v>25</v>
      </c>
      <c r="E232" t="s">
        <v>33</v>
      </c>
      <c r="F232" t="s">
        <v>61</v>
      </c>
      <c r="G232" t="s">
        <v>24</v>
      </c>
      <c r="H232" s="3" t="s">
        <v>267</v>
      </c>
      <c r="I232" s="3" t="s">
        <v>393</v>
      </c>
      <c r="J232" t="s">
        <v>44</v>
      </c>
      <c r="K232">
        <v>71290</v>
      </c>
      <c r="L232" t="s">
        <v>45</v>
      </c>
      <c r="M232">
        <v>10</v>
      </c>
      <c r="N232" t="s">
        <v>29</v>
      </c>
      <c r="O232" t="str">
        <f t="shared" si="16"/>
        <v>Adult</v>
      </c>
      <c r="P232">
        <f t="shared" si="17"/>
        <v>2024</v>
      </c>
      <c r="Q232" t="str">
        <f t="shared" si="18"/>
        <v>Feb</v>
      </c>
      <c r="R232">
        <f t="shared" si="19"/>
        <v>2024</v>
      </c>
      <c r="S232" t="str">
        <f t="shared" si="20"/>
        <v>Jan</v>
      </c>
    </row>
    <row r="233" spans="1:19" x14ac:dyDescent="0.3">
      <c r="A233" t="s">
        <v>564</v>
      </c>
      <c r="B233" t="s">
        <v>166</v>
      </c>
      <c r="C233" t="s">
        <v>21</v>
      </c>
      <c r="D233">
        <v>74</v>
      </c>
      <c r="E233" t="s">
        <v>22</v>
      </c>
      <c r="F233" t="s">
        <v>80</v>
      </c>
      <c r="G233" t="s">
        <v>41</v>
      </c>
      <c r="H233" s="3" t="s">
        <v>497</v>
      </c>
      <c r="I233" s="3" t="s">
        <v>233</v>
      </c>
      <c r="J233" t="s">
        <v>52</v>
      </c>
      <c r="K233">
        <v>28269</v>
      </c>
      <c r="L233" t="s">
        <v>45</v>
      </c>
      <c r="M233">
        <v>9</v>
      </c>
      <c r="N233" t="s">
        <v>46</v>
      </c>
      <c r="O233" t="str">
        <f t="shared" si="16"/>
        <v>Senior</v>
      </c>
      <c r="P233">
        <f t="shared" si="17"/>
        <v>2024</v>
      </c>
      <c r="Q233" t="str">
        <f t="shared" si="18"/>
        <v>May</v>
      </c>
      <c r="R233">
        <f t="shared" si="19"/>
        <v>2024</v>
      </c>
      <c r="S233" t="str">
        <f t="shared" si="20"/>
        <v>May</v>
      </c>
    </row>
    <row r="234" spans="1:19" x14ac:dyDescent="0.3">
      <c r="A234" t="s">
        <v>565</v>
      </c>
      <c r="B234" t="s">
        <v>122</v>
      </c>
      <c r="C234" t="s">
        <v>32</v>
      </c>
      <c r="D234">
        <v>76</v>
      </c>
      <c r="E234" t="s">
        <v>39</v>
      </c>
      <c r="F234" t="s">
        <v>110</v>
      </c>
      <c r="G234" t="s">
        <v>111</v>
      </c>
      <c r="H234" s="3" t="s">
        <v>566</v>
      </c>
      <c r="I234" s="3" t="s">
        <v>202</v>
      </c>
      <c r="J234" t="s">
        <v>27</v>
      </c>
      <c r="K234">
        <v>31871</v>
      </c>
      <c r="L234" t="s">
        <v>58</v>
      </c>
      <c r="M234">
        <v>5</v>
      </c>
      <c r="N234" t="s">
        <v>46</v>
      </c>
      <c r="O234" t="str">
        <f t="shared" si="16"/>
        <v>Senior</v>
      </c>
      <c r="P234">
        <f t="shared" si="17"/>
        <v>2024</v>
      </c>
      <c r="Q234" t="str">
        <f t="shared" si="18"/>
        <v>Aug</v>
      </c>
      <c r="R234">
        <f t="shared" si="19"/>
        <v>2024</v>
      </c>
      <c r="S234" t="str">
        <f t="shared" si="20"/>
        <v>Aug</v>
      </c>
    </row>
    <row r="235" spans="1:19" x14ac:dyDescent="0.3">
      <c r="A235" t="s">
        <v>567</v>
      </c>
      <c r="B235" t="s">
        <v>144</v>
      </c>
      <c r="C235" t="s">
        <v>32</v>
      </c>
      <c r="D235">
        <v>5</v>
      </c>
      <c r="E235" t="s">
        <v>22</v>
      </c>
      <c r="F235" t="s">
        <v>110</v>
      </c>
      <c r="G235" t="s">
        <v>24</v>
      </c>
      <c r="H235" s="3" t="s">
        <v>83</v>
      </c>
      <c r="I235" s="3" t="s">
        <v>568</v>
      </c>
      <c r="J235" t="s">
        <v>36</v>
      </c>
      <c r="K235">
        <v>65398</v>
      </c>
      <c r="L235" t="s">
        <v>58</v>
      </c>
      <c r="M235">
        <v>8</v>
      </c>
      <c r="N235" t="s">
        <v>29</v>
      </c>
      <c r="O235" t="str">
        <f t="shared" si="16"/>
        <v>Child</v>
      </c>
      <c r="P235">
        <f t="shared" si="17"/>
        <v>2024</v>
      </c>
      <c r="Q235" t="str">
        <f t="shared" si="18"/>
        <v>Apr</v>
      </c>
      <c r="R235">
        <f t="shared" si="19"/>
        <v>2024</v>
      </c>
      <c r="S235" t="str">
        <f t="shared" si="20"/>
        <v>Apr</v>
      </c>
    </row>
    <row r="236" spans="1:19" x14ac:dyDescent="0.3">
      <c r="A236" t="s">
        <v>569</v>
      </c>
      <c r="B236" t="s">
        <v>173</v>
      </c>
      <c r="C236" t="s">
        <v>21</v>
      </c>
      <c r="D236">
        <v>52</v>
      </c>
      <c r="E236" t="s">
        <v>33</v>
      </c>
      <c r="F236" t="s">
        <v>80</v>
      </c>
      <c r="G236" t="s">
        <v>111</v>
      </c>
      <c r="H236" s="3" t="s">
        <v>93</v>
      </c>
      <c r="I236" s="3" t="s">
        <v>262</v>
      </c>
      <c r="J236" t="s">
        <v>103</v>
      </c>
      <c r="K236">
        <v>79476</v>
      </c>
      <c r="L236" t="s">
        <v>58</v>
      </c>
      <c r="M236">
        <v>7</v>
      </c>
      <c r="N236" t="s">
        <v>29</v>
      </c>
      <c r="O236" t="str">
        <f t="shared" si="16"/>
        <v>Adult</v>
      </c>
      <c r="P236">
        <f t="shared" si="17"/>
        <v>2024</v>
      </c>
      <c r="Q236" t="str">
        <f t="shared" si="18"/>
        <v>May</v>
      </c>
      <c r="R236">
        <f t="shared" si="19"/>
        <v>2024</v>
      </c>
      <c r="S236" t="str">
        <f t="shared" si="20"/>
        <v>May</v>
      </c>
    </row>
    <row r="237" spans="1:19" x14ac:dyDescent="0.3">
      <c r="A237" t="s">
        <v>570</v>
      </c>
      <c r="B237" t="s">
        <v>144</v>
      </c>
      <c r="C237" t="s">
        <v>21</v>
      </c>
      <c r="D237">
        <v>26</v>
      </c>
      <c r="E237" t="s">
        <v>74</v>
      </c>
      <c r="F237" t="s">
        <v>61</v>
      </c>
      <c r="G237" t="s">
        <v>24</v>
      </c>
      <c r="H237" s="3" t="s">
        <v>113</v>
      </c>
      <c r="I237" s="3" t="s">
        <v>571</v>
      </c>
      <c r="J237" t="s">
        <v>27</v>
      </c>
      <c r="K237">
        <v>21293</v>
      </c>
      <c r="L237" t="s">
        <v>45</v>
      </c>
      <c r="M237">
        <v>3</v>
      </c>
      <c r="N237" t="s">
        <v>77</v>
      </c>
      <c r="O237" t="str">
        <f t="shared" si="16"/>
        <v>Adult</v>
      </c>
      <c r="P237">
        <f t="shared" si="17"/>
        <v>2024</v>
      </c>
      <c r="Q237" t="str">
        <f t="shared" si="18"/>
        <v>Jul</v>
      </c>
      <c r="R237">
        <f t="shared" si="19"/>
        <v>2024</v>
      </c>
      <c r="S237" t="str">
        <f t="shared" si="20"/>
        <v>Jun</v>
      </c>
    </row>
    <row r="238" spans="1:19" x14ac:dyDescent="0.3">
      <c r="A238" t="s">
        <v>572</v>
      </c>
      <c r="B238" t="s">
        <v>67</v>
      </c>
      <c r="C238" t="s">
        <v>21</v>
      </c>
      <c r="D238">
        <v>26</v>
      </c>
      <c r="E238" t="s">
        <v>33</v>
      </c>
      <c r="F238" t="s">
        <v>61</v>
      </c>
      <c r="G238" t="s">
        <v>41</v>
      </c>
      <c r="H238" s="3" t="s">
        <v>341</v>
      </c>
      <c r="I238" s="3" t="s">
        <v>573</v>
      </c>
      <c r="J238" t="s">
        <v>103</v>
      </c>
      <c r="K238">
        <v>51373</v>
      </c>
      <c r="L238" t="s">
        <v>45</v>
      </c>
      <c r="M238">
        <v>10</v>
      </c>
      <c r="N238" t="s">
        <v>77</v>
      </c>
      <c r="O238" t="str">
        <f t="shared" si="16"/>
        <v>Adult</v>
      </c>
      <c r="P238">
        <f t="shared" si="17"/>
        <v>2024</v>
      </c>
      <c r="Q238" t="str">
        <f t="shared" si="18"/>
        <v>Dec</v>
      </c>
      <c r="R238">
        <f t="shared" si="19"/>
        <v>2024</v>
      </c>
      <c r="S238" t="str">
        <f t="shared" si="20"/>
        <v>Dec</v>
      </c>
    </row>
    <row r="239" spans="1:19" x14ac:dyDescent="0.3">
      <c r="A239" t="s">
        <v>574</v>
      </c>
      <c r="B239" t="s">
        <v>105</v>
      </c>
      <c r="C239" t="s">
        <v>32</v>
      </c>
      <c r="D239">
        <v>45</v>
      </c>
      <c r="E239" t="s">
        <v>49</v>
      </c>
      <c r="F239" t="s">
        <v>61</v>
      </c>
      <c r="G239" t="s">
        <v>81</v>
      </c>
      <c r="H239" s="3" t="s">
        <v>188</v>
      </c>
      <c r="I239" s="3" t="s">
        <v>374</v>
      </c>
      <c r="J239" t="s">
        <v>52</v>
      </c>
      <c r="K239">
        <v>85507</v>
      </c>
      <c r="L239" t="s">
        <v>28</v>
      </c>
      <c r="M239">
        <v>1</v>
      </c>
      <c r="N239" t="s">
        <v>46</v>
      </c>
      <c r="O239" t="str">
        <f t="shared" si="16"/>
        <v>Adult</v>
      </c>
      <c r="P239">
        <f t="shared" si="17"/>
        <v>2024</v>
      </c>
      <c r="Q239" t="str">
        <f t="shared" si="18"/>
        <v>Jan</v>
      </c>
      <c r="R239">
        <f t="shared" si="19"/>
        <v>2024</v>
      </c>
      <c r="S239" t="str">
        <f t="shared" si="20"/>
        <v>Jan</v>
      </c>
    </row>
    <row r="240" spans="1:19" x14ac:dyDescent="0.3">
      <c r="A240" t="s">
        <v>575</v>
      </c>
      <c r="B240" t="s">
        <v>118</v>
      </c>
      <c r="C240" t="s">
        <v>21</v>
      </c>
      <c r="D240">
        <v>73</v>
      </c>
      <c r="E240" t="s">
        <v>60</v>
      </c>
      <c r="F240" t="s">
        <v>68</v>
      </c>
      <c r="G240" t="s">
        <v>111</v>
      </c>
      <c r="H240" s="3" t="s">
        <v>197</v>
      </c>
      <c r="I240" s="3" t="s">
        <v>576</v>
      </c>
      <c r="J240" t="s">
        <v>27</v>
      </c>
      <c r="K240">
        <v>45898</v>
      </c>
      <c r="L240" t="s">
        <v>45</v>
      </c>
      <c r="M240">
        <v>1</v>
      </c>
      <c r="N240" t="s">
        <v>29</v>
      </c>
      <c r="O240" t="str">
        <f t="shared" si="16"/>
        <v>Senior</v>
      </c>
      <c r="P240">
        <f t="shared" si="17"/>
        <v>2024</v>
      </c>
      <c r="Q240" t="str">
        <f t="shared" si="18"/>
        <v>Dec</v>
      </c>
      <c r="R240">
        <f t="shared" si="19"/>
        <v>2024</v>
      </c>
      <c r="S240" t="str">
        <f t="shared" si="20"/>
        <v>Dec</v>
      </c>
    </row>
    <row r="241" spans="1:19" x14ac:dyDescent="0.3">
      <c r="A241" t="s">
        <v>577</v>
      </c>
      <c r="B241" t="s">
        <v>79</v>
      </c>
      <c r="C241" t="s">
        <v>21</v>
      </c>
      <c r="D241">
        <v>65</v>
      </c>
      <c r="E241" t="s">
        <v>49</v>
      </c>
      <c r="F241" t="s">
        <v>80</v>
      </c>
      <c r="G241" t="s">
        <v>111</v>
      </c>
      <c r="H241" s="3" t="s">
        <v>191</v>
      </c>
      <c r="I241" s="3" t="s">
        <v>154</v>
      </c>
      <c r="J241" t="s">
        <v>27</v>
      </c>
      <c r="K241">
        <v>39997</v>
      </c>
      <c r="L241" t="s">
        <v>28</v>
      </c>
      <c r="M241">
        <v>9</v>
      </c>
      <c r="N241" t="s">
        <v>29</v>
      </c>
      <c r="O241" t="str">
        <f t="shared" si="16"/>
        <v>Senior</v>
      </c>
      <c r="P241">
        <f t="shared" si="17"/>
        <v>2024</v>
      </c>
      <c r="Q241" t="str">
        <f t="shared" si="18"/>
        <v>Aug</v>
      </c>
      <c r="R241">
        <f t="shared" si="19"/>
        <v>2024</v>
      </c>
      <c r="S241" t="str">
        <f t="shared" si="20"/>
        <v>Aug</v>
      </c>
    </row>
    <row r="242" spans="1:19" x14ac:dyDescent="0.3">
      <c r="A242" t="s">
        <v>578</v>
      </c>
      <c r="B242" t="s">
        <v>109</v>
      </c>
      <c r="C242" t="s">
        <v>21</v>
      </c>
      <c r="D242">
        <v>1</v>
      </c>
      <c r="E242" t="s">
        <v>33</v>
      </c>
      <c r="F242" t="s">
        <v>61</v>
      </c>
      <c r="G242" t="s">
        <v>62</v>
      </c>
      <c r="H242" s="3" t="s">
        <v>579</v>
      </c>
      <c r="I242" s="3" t="s">
        <v>580</v>
      </c>
      <c r="J242" t="s">
        <v>36</v>
      </c>
      <c r="K242">
        <v>23581</v>
      </c>
      <c r="L242" t="s">
        <v>45</v>
      </c>
      <c r="M242">
        <v>6</v>
      </c>
      <c r="N242" t="s">
        <v>46</v>
      </c>
      <c r="O242" t="str">
        <f t="shared" si="16"/>
        <v>Child</v>
      </c>
      <c r="P242">
        <f t="shared" si="17"/>
        <v>2024</v>
      </c>
      <c r="Q242" t="str">
        <f t="shared" si="18"/>
        <v>Aug</v>
      </c>
      <c r="R242">
        <f t="shared" si="19"/>
        <v>2024</v>
      </c>
      <c r="S242" t="str">
        <f t="shared" si="20"/>
        <v>Jul</v>
      </c>
    </row>
    <row r="243" spans="1:19" x14ac:dyDescent="0.3">
      <c r="A243" t="s">
        <v>581</v>
      </c>
      <c r="B243" t="s">
        <v>38</v>
      </c>
      <c r="C243" t="s">
        <v>21</v>
      </c>
      <c r="D243">
        <v>47</v>
      </c>
      <c r="E243" t="s">
        <v>22</v>
      </c>
      <c r="F243" t="s">
        <v>40</v>
      </c>
      <c r="G243" t="s">
        <v>41</v>
      </c>
      <c r="H243" s="3" t="s">
        <v>134</v>
      </c>
      <c r="I243" s="3" t="s">
        <v>582</v>
      </c>
      <c r="J243" t="s">
        <v>52</v>
      </c>
      <c r="K243">
        <v>58885</v>
      </c>
      <c r="L243" t="s">
        <v>45</v>
      </c>
      <c r="M243">
        <v>10</v>
      </c>
      <c r="N243" t="s">
        <v>29</v>
      </c>
      <c r="O243" t="str">
        <f t="shared" si="16"/>
        <v>Adult</v>
      </c>
      <c r="P243">
        <f t="shared" si="17"/>
        <v>2025</v>
      </c>
      <c r="Q243" t="str">
        <f t="shared" si="18"/>
        <v>Jan</v>
      </c>
      <c r="R243">
        <f t="shared" si="19"/>
        <v>2024</v>
      </c>
      <c r="S243" t="str">
        <f t="shared" si="20"/>
        <v>Dec</v>
      </c>
    </row>
    <row r="244" spans="1:19" x14ac:dyDescent="0.3">
      <c r="A244" t="s">
        <v>583</v>
      </c>
      <c r="B244" t="s">
        <v>109</v>
      </c>
      <c r="C244" t="s">
        <v>21</v>
      </c>
      <c r="D244">
        <v>65</v>
      </c>
      <c r="E244" t="s">
        <v>60</v>
      </c>
      <c r="F244" t="s">
        <v>61</v>
      </c>
      <c r="G244" t="s">
        <v>81</v>
      </c>
      <c r="H244" s="3" t="s">
        <v>584</v>
      </c>
      <c r="I244" s="3" t="s">
        <v>553</v>
      </c>
      <c r="J244" t="s">
        <v>103</v>
      </c>
      <c r="K244">
        <v>75318</v>
      </c>
      <c r="L244" t="s">
        <v>58</v>
      </c>
      <c r="M244">
        <v>7</v>
      </c>
      <c r="N244" t="s">
        <v>46</v>
      </c>
      <c r="O244" t="str">
        <f t="shared" si="16"/>
        <v>Senior</v>
      </c>
      <c r="P244">
        <f t="shared" si="17"/>
        <v>2024</v>
      </c>
      <c r="Q244" t="str">
        <f t="shared" si="18"/>
        <v>Nov</v>
      </c>
      <c r="R244">
        <f t="shared" si="19"/>
        <v>2024</v>
      </c>
      <c r="S244" t="str">
        <f t="shared" si="20"/>
        <v>Nov</v>
      </c>
    </row>
    <row r="245" spans="1:19" x14ac:dyDescent="0.3">
      <c r="A245" t="s">
        <v>585</v>
      </c>
      <c r="B245" t="s">
        <v>109</v>
      </c>
      <c r="C245" t="s">
        <v>21</v>
      </c>
      <c r="D245">
        <v>71</v>
      </c>
      <c r="E245" t="s">
        <v>60</v>
      </c>
      <c r="F245" t="s">
        <v>80</v>
      </c>
      <c r="G245" t="s">
        <v>24</v>
      </c>
      <c r="H245" s="3" t="s">
        <v>586</v>
      </c>
      <c r="I245" s="3" t="s">
        <v>373</v>
      </c>
      <c r="J245" t="s">
        <v>71</v>
      </c>
      <c r="K245">
        <v>90060</v>
      </c>
      <c r="L245" t="s">
        <v>58</v>
      </c>
      <c r="M245">
        <v>3</v>
      </c>
      <c r="N245" t="s">
        <v>29</v>
      </c>
      <c r="O245" t="str">
        <f t="shared" si="16"/>
        <v>Senior</v>
      </c>
      <c r="P245">
        <f t="shared" si="17"/>
        <v>2024</v>
      </c>
      <c r="Q245" t="str">
        <f t="shared" si="18"/>
        <v>Jan</v>
      </c>
      <c r="R245">
        <f t="shared" si="19"/>
        <v>2024</v>
      </c>
      <c r="S245" t="str">
        <f t="shared" si="20"/>
        <v>Jan</v>
      </c>
    </row>
    <row r="246" spans="1:19" x14ac:dyDescent="0.3">
      <c r="A246" t="s">
        <v>587</v>
      </c>
      <c r="B246" t="s">
        <v>109</v>
      </c>
      <c r="C246" t="s">
        <v>21</v>
      </c>
      <c r="D246">
        <v>77</v>
      </c>
      <c r="E246" t="s">
        <v>54</v>
      </c>
      <c r="F246" t="s">
        <v>80</v>
      </c>
      <c r="G246" t="s">
        <v>111</v>
      </c>
      <c r="H246" s="3" t="s">
        <v>588</v>
      </c>
      <c r="I246" s="3" t="s">
        <v>514</v>
      </c>
      <c r="J246" t="s">
        <v>65</v>
      </c>
      <c r="K246">
        <v>71579</v>
      </c>
      <c r="L246" t="s">
        <v>45</v>
      </c>
      <c r="M246">
        <v>2</v>
      </c>
      <c r="N246" t="s">
        <v>46</v>
      </c>
      <c r="O246" t="str">
        <f t="shared" si="16"/>
        <v>Senior</v>
      </c>
      <c r="P246">
        <f t="shared" si="17"/>
        <v>2024</v>
      </c>
      <c r="Q246" t="str">
        <f t="shared" si="18"/>
        <v>Jun</v>
      </c>
      <c r="R246">
        <f t="shared" si="19"/>
        <v>2024</v>
      </c>
      <c r="S246" t="str">
        <f t="shared" si="20"/>
        <v>Jun</v>
      </c>
    </row>
    <row r="247" spans="1:19" x14ac:dyDescent="0.3">
      <c r="A247" t="s">
        <v>589</v>
      </c>
      <c r="B247" t="s">
        <v>140</v>
      </c>
      <c r="C247" t="s">
        <v>32</v>
      </c>
      <c r="D247">
        <v>77</v>
      </c>
      <c r="E247" t="s">
        <v>54</v>
      </c>
      <c r="F247" t="s">
        <v>55</v>
      </c>
      <c r="G247" t="s">
        <v>24</v>
      </c>
      <c r="H247" s="3" t="s">
        <v>162</v>
      </c>
      <c r="I247" s="3" t="s">
        <v>217</v>
      </c>
      <c r="J247" t="s">
        <v>36</v>
      </c>
      <c r="K247">
        <v>36705</v>
      </c>
      <c r="L247" t="s">
        <v>45</v>
      </c>
      <c r="M247">
        <v>1</v>
      </c>
      <c r="N247" t="s">
        <v>77</v>
      </c>
      <c r="O247" t="str">
        <f t="shared" si="16"/>
        <v>Senior</v>
      </c>
      <c r="P247">
        <f t="shared" si="17"/>
        <v>2024</v>
      </c>
      <c r="Q247" t="str">
        <f t="shared" si="18"/>
        <v>Feb</v>
      </c>
      <c r="R247">
        <f t="shared" si="19"/>
        <v>2024</v>
      </c>
      <c r="S247" t="str">
        <f t="shared" si="20"/>
        <v>Feb</v>
      </c>
    </row>
    <row r="248" spans="1:19" x14ac:dyDescent="0.3">
      <c r="A248" t="s">
        <v>590</v>
      </c>
      <c r="B248" t="s">
        <v>255</v>
      </c>
      <c r="C248" t="s">
        <v>21</v>
      </c>
      <c r="D248">
        <v>25</v>
      </c>
      <c r="E248" t="s">
        <v>60</v>
      </c>
      <c r="F248" t="s">
        <v>55</v>
      </c>
      <c r="G248" t="s">
        <v>111</v>
      </c>
      <c r="H248" s="3" t="s">
        <v>449</v>
      </c>
      <c r="I248" s="3" t="s">
        <v>290</v>
      </c>
      <c r="J248" t="s">
        <v>71</v>
      </c>
      <c r="K248">
        <v>17959</v>
      </c>
      <c r="L248" t="s">
        <v>28</v>
      </c>
      <c r="M248">
        <v>8</v>
      </c>
      <c r="N248" t="s">
        <v>46</v>
      </c>
      <c r="O248" t="str">
        <f t="shared" si="16"/>
        <v>Adult</v>
      </c>
      <c r="P248">
        <f t="shared" si="17"/>
        <v>2024</v>
      </c>
      <c r="Q248" t="str">
        <f t="shared" si="18"/>
        <v>May</v>
      </c>
      <c r="R248">
        <f t="shared" si="19"/>
        <v>2024</v>
      </c>
      <c r="S248" t="str">
        <f t="shared" si="20"/>
        <v>May</v>
      </c>
    </row>
    <row r="249" spans="1:19" x14ac:dyDescent="0.3">
      <c r="A249" t="s">
        <v>591</v>
      </c>
      <c r="B249" t="s">
        <v>173</v>
      </c>
      <c r="C249" t="s">
        <v>32</v>
      </c>
      <c r="D249">
        <v>77</v>
      </c>
      <c r="E249" t="s">
        <v>22</v>
      </c>
      <c r="F249" t="s">
        <v>55</v>
      </c>
      <c r="G249" t="s">
        <v>81</v>
      </c>
      <c r="H249" s="3" t="s">
        <v>263</v>
      </c>
      <c r="I249" s="3" t="s">
        <v>141</v>
      </c>
      <c r="J249" t="s">
        <v>44</v>
      </c>
      <c r="K249">
        <v>38115</v>
      </c>
      <c r="L249" t="s">
        <v>58</v>
      </c>
      <c r="M249">
        <v>9</v>
      </c>
      <c r="N249" t="s">
        <v>29</v>
      </c>
      <c r="O249" t="str">
        <f t="shared" si="16"/>
        <v>Senior</v>
      </c>
      <c r="P249">
        <f t="shared" si="17"/>
        <v>2024</v>
      </c>
      <c r="Q249" t="str">
        <f t="shared" si="18"/>
        <v>May</v>
      </c>
      <c r="R249">
        <f t="shared" si="19"/>
        <v>2024</v>
      </c>
      <c r="S249" t="str">
        <f t="shared" si="20"/>
        <v>May</v>
      </c>
    </row>
    <row r="250" spans="1:19" x14ac:dyDescent="0.3">
      <c r="A250" t="s">
        <v>592</v>
      </c>
      <c r="B250" t="s">
        <v>101</v>
      </c>
      <c r="C250" t="s">
        <v>21</v>
      </c>
      <c r="D250">
        <v>26</v>
      </c>
      <c r="E250" t="s">
        <v>60</v>
      </c>
      <c r="F250" t="s">
        <v>110</v>
      </c>
      <c r="G250" t="s">
        <v>111</v>
      </c>
      <c r="H250" s="3" t="s">
        <v>198</v>
      </c>
      <c r="I250" s="3" t="s">
        <v>283</v>
      </c>
      <c r="J250" t="s">
        <v>103</v>
      </c>
      <c r="K250">
        <v>76848</v>
      </c>
      <c r="L250" t="s">
        <v>58</v>
      </c>
      <c r="M250">
        <v>3</v>
      </c>
      <c r="N250" t="s">
        <v>46</v>
      </c>
      <c r="O250" t="str">
        <f t="shared" si="16"/>
        <v>Adult</v>
      </c>
      <c r="P250">
        <f t="shared" si="17"/>
        <v>2024</v>
      </c>
      <c r="Q250" t="str">
        <f t="shared" si="18"/>
        <v>Dec</v>
      </c>
      <c r="R250">
        <f t="shared" si="19"/>
        <v>2024</v>
      </c>
      <c r="S250" t="str">
        <f t="shared" si="20"/>
        <v>Dec</v>
      </c>
    </row>
    <row r="251" spans="1:19" x14ac:dyDescent="0.3">
      <c r="A251" t="s">
        <v>593</v>
      </c>
      <c r="B251" t="s">
        <v>129</v>
      </c>
      <c r="C251" t="s">
        <v>32</v>
      </c>
      <c r="D251">
        <v>46</v>
      </c>
      <c r="E251" t="s">
        <v>33</v>
      </c>
      <c r="F251" t="s">
        <v>23</v>
      </c>
      <c r="G251" t="s">
        <v>81</v>
      </c>
      <c r="H251" s="3" t="s">
        <v>248</v>
      </c>
      <c r="I251" s="3" t="s">
        <v>576</v>
      </c>
      <c r="J251" t="s">
        <v>71</v>
      </c>
      <c r="K251">
        <v>63763</v>
      </c>
      <c r="L251" t="s">
        <v>45</v>
      </c>
      <c r="M251">
        <v>3</v>
      </c>
      <c r="N251" t="s">
        <v>46</v>
      </c>
      <c r="O251" t="str">
        <f t="shared" si="16"/>
        <v>Adult</v>
      </c>
      <c r="P251">
        <f t="shared" si="17"/>
        <v>2024</v>
      </c>
      <c r="Q251" t="str">
        <f t="shared" si="18"/>
        <v>Dec</v>
      </c>
      <c r="R251">
        <f t="shared" si="19"/>
        <v>2024</v>
      </c>
      <c r="S251" t="str">
        <f t="shared" si="20"/>
        <v>Dec</v>
      </c>
    </row>
  </sheetData>
  <conditionalFormatting sqref="K2:K251">
    <cfRule type="cellIs" dxfId="0" priority="1" operator="greaterThan">
      <formula>70000</formula>
    </cfRule>
  </conditionalFormatting>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9ACDB-CDE5-4978-892D-DE034C123501}">
  <dimension ref="A1:Y30"/>
  <sheetViews>
    <sheetView tabSelected="1" zoomScale="91" zoomScaleNormal="91" workbookViewId="0">
      <selection activeCell="Z11" sqref="Z11"/>
    </sheetView>
  </sheetViews>
  <sheetFormatPr defaultRowHeight="14.4" x14ac:dyDescent="0.3"/>
  <sheetData>
    <row r="1" spans="1:25" x14ac:dyDescent="0.3">
      <c r="A1" s="11"/>
      <c r="B1" s="11"/>
      <c r="C1" s="11"/>
      <c r="D1" s="11"/>
      <c r="E1" s="11"/>
      <c r="F1" s="11"/>
      <c r="G1" s="11"/>
      <c r="H1" s="11"/>
      <c r="I1" s="11"/>
      <c r="J1" s="11"/>
      <c r="K1" s="11"/>
      <c r="L1" s="11"/>
      <c r="M1" s="11"/>
      <c r="N1" s="11"/>
      <c r="O1" s="11"/>
      <c r="P1" s="11"/>
      <c r="Q1" s="11"/>
      <c r="R1" s="11"/>
      <c r="S1" s="11"/>
      <c r="T1" s="11"/>
      <c r="U1" s="11"/>
      <c r="V1" s="11"/>
      <c r="W1" s="11"/>
      <c r="X1" s="11"/>
      <c r="Y1" s="11"/>
    </row>
    <row r="2" spans="1:25" x14ac:dyDescent="0.3">
      <c r="A2" s="11"/>
      <c r="B2" s="11"/>
      <c r="C2" s="11"/>
      <c r="D2" s="11"/>
      <c r="E2" s="11"/>
      <c r="F2" s="11"/>
      <c r="G2" s="11"/>
      <c r="H2" s="11"/>
      <c r="I2" s="11"/>
      <c r="J2" s="11"/>
      <c r="K2" s="11"/>
      <c r="L2" s="11"/>
      <c r="M2" s="11"/>
      <c r="N2" s="11"/>
      <c r="O2" s="11"/>
      <c r="P2" s="11"/>
      <c r="Q2" s="11"/>
      <c r="R2" s="11"/>
      <c r="S2" s="11"/>
      <c r="T2" s="11"/>
      <c r="U2" s="11"/>
      <c r="V2" s="11"/>
      <c r="W2" s="11"/>
      <c r="X2" s="11"/>
      <c r="Y2" s="11"/>
    </row>
    <row r="3" spans="1:25" x14ac:dyDescent="0.3">
      <c r="A3" s="11"/>
      <c r="B3" s="11"/>
      <c r="C3" s="11"/>
      <c r="D3" s="11"/>
      <c r="E3" s="11"/>
      <c r="F3" s="11"/>
      <c r="G3" s="11"/>
      <c r="H3" s="11"/>
      <c r="I3" s="11"/>
      <c r="J3" s="11"/>
      <c r="K3" s="11"/>
      <c r="L3" s="11"/>
      <c r="M3" s="11"/>
      <c r="N3" s="11"/>
      <c r="O3" s="11"/>
      <c r="P3" s="11"/>
      <c r="Q3" s="11"/>
      <c r="R3" s="11"/>
      <c r="S3" s="11"/>
      <c r="T3" s="11"/>
      <c r="U3" s="11"/>
      <c r="V3" s="11"/>
      <c r="W3" s="11"/>
      <c r="X3" s="11"/>
      <c r="Y3" s="11"/>
    </row>
    <row r="4" spans="1:25" x14ac:dyDescent="0.3">
      <c r="A4" s="11"/>
      <c r="B4" s="11"/>
      <c r="C4" s="11"/>
      <c r="D4" s="11"/>
      <c r="E4" s="11"/>
      <c r="F4" s="11"/>
      <c r="G4" s="11"/>
      <c r="H4" s="11"/>
      <c r="I4" s="11"/>
      <c r="J4" s="11"/>
      <c r="K4" s="11"/>
      <c r="L4" s="11"/>
      <c r="M4" s="11"/>
      <c r="N4" s="11"/>
      <c r="O4" s="11"/>
      <c r="P4" s="11"/>
      <c r="Q4" s="11"/>
      <c r="R4" s="11"/>
      <c r="S4" s="11"/>
      <c r="T4" s="11"/>
      <c r="U4" s="11"/>
      <c r="V4" s="11"/>
      <c r="W4" s="11"/>
      <c r="X4" s="11"/>
      <c r="Y4" s="11"/>
    </row>
    <row r="5" spans="1:25" x14ac:dyDescent="0.3">
      <c r="A5" s="11"/>
      <c r="B5" s="11"/>
      <c r="C5" s="11"/>
      <c r="D5" s="11"/>
      <c r="E5" s="11"/>
      <c r="F5" s="11"/>
      <c r="G5" s="11"/>
      <c r="H5" s="11"/>
      <c r="I5" s="11"/>
      <c r="J5" s="11"/>
      <c r="K5" s="11"/>
      <c r="L5" s="11"/>
      <c r="M5" s="11"/>
      <c r="N5" s="11"/>
      <c r="O5" s="11"/>
      <c r="P5" s="11"/>
      <c r="Q5" s="11"/>
      <c r="R5" s="11"/>
      <c r="S5" s="11"/>
      <c r="T5" s="11"/>
      <c r="U5" s="11"/>
      <c r="V5" s="11"/>
      <c r="W5" s="11"/>
      <c r="X5" s="11"/>
      <c r="Y5" s="11"/>
    </row>
    <row r="6" spans="1:25" x14ac:dyDescent="0.3">
      <c r="A6" s="11"/>
      <c r="B6" s="11"/>
      <c r="C6" s="11"/>
      <c r="D6" s="11"/>
      <c r="E6" s="11"/>
      <c r="F6" s="11"/>
      <c r="G6" s="11"/>
      <c r="H6" s="11"/>
      <c r="I6" s="11"/>
      <c r="J6" s="11"/>
      <c r="K6" s="11"/>
      <c r="L6" s="11"/>
      <c r="M6" s="11"/>
      <c r="N6" s="11"/>
      <c r="O6" s="11"/>
      <c r="P6" s="11"/>
      <c r="Q6" s="11"/>
      <c r="R6" s="11"/>
      <c r="S6" s="11"/>
      <c r="T6" s="11"/>
      <c r="U6" s="11"/>
      <c r="V6" s="11"/>
      <c r="W6" s="11"/>
      <c r="X6" s="11"/>
      <c r="Y6" s="11"/>
    </row>
    <row r="7" spans="1:25" x14ac:dyDescent="0.3">
      <c r="A7" s="11"/>
      <c r="B7" s="11"/>
      <c r="C7" s="11"/>
      <c r="D7" s="11"/>
      <c r="E7" s="11"/>
      <c r="F7" s="11"/>
      <c r="G7" s="11"/>
      <c r="H7" s="11"/>
      <c r="I7" s="11"/>
      <c r="J7" s="11"/>
      <c r="K7" s="11"/>
      <c r="L7" s="11"/>
      <c r="M7" s="11"/>
      <c r="N7" s="11"/>
      <c r="O7" s="11"/>
      <c r="P7" s="11"/>
      <c r="Q7" s="11"/>
      <c r="R7" s="11"/>
      <c r="S7" s="11"/>
      <c r="T7" s="11"/>
      <c r="U7" s="11"/>
      <c r="V7" s="11"/>
      <c r="W7" s="11"/>
      <c r="X7" s="11"/>
      <c r="Y7" s="11"/>
    </row>
    <row r="8" spans="1:25" x14ac:dyDescent="0.3">
      <c r="A8" s="11"/>
      <c r="B8" s="11"/>
      <c r="C8" s="11"/>
      <c r="D8" s="11"/>
      <c r="E8" s="11"/>
      <c r="F8" s="11"/>
      <c r="G8" s="11"/>
      <c r="H8" s="11"/>
      <c r="I8" s="11"/>
      <c r="J8" s="11"/>
      <c r="K8" s="11"/>
      <c r="L8" s="11"/>
      <c r="M8" s="11"/>
      <c r="N8" s="11"/>
      <c r="O8" s="11"/>
      <c r="P8" s="11"/>
      <c r="Q8" s="11"/>
      <c r="R8" s="11"/>
      <c r="S8" s="11"/>
      <c r="T8" s="11"/>
      <c r="U8" s="11"/>
      <c r="V8" s="11"/>
      <c r="W8" s="11"/>
      <c r="X8" s="11"/>
      <c r="Y8" s="11"/>
    </row>
    <row r="9" spans="1:25" x14ac:dyDescent="0.3">
      <c r="A9" s="11"/>
      <c r="B9" s="11"/>
      <c r="C9" s="11"/>
      <c r="D9" s="11"/>
      <c r="E9" s="11"/>
      <c r="F9" s="11"/>
      <c r="G9" s="11"/>
      <c r="H9" s="11"/>
      <c r="I9" s="11"/>
      <c r="J9" s="11"/>
      <c r="K9" s="11"/>
      <c r="L9" s="11"/>
      <c r="M9" s="11"/>
      <c r="N9" s="11"/>
      <c r="O9" s="11"/>
      <c r="P9" s="11"/>
      <c r="Q9" s="11"/>
      <c r="R9" s="11"/>
      <c r="S9" s="11"/>
      <c r="T9" s="11"/>
      <c r="U9" s="11"/>
      <c r="V9" s="11"/>
      <c r="W9" s="11"/>
      <c r="X9" s="11"/>
      <c r="Y9" s="11"/>
    </row>
    <row r="10" spans="1:25"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spans="1:25"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spans="1:25"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spans="1:25"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spans="1:25"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spans="1:25"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spans="1:25"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spans="1:25"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spans="1:25"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spans="1:25"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899C-BD1D-4A10-82F0-37E9E12281B8}">
  <dimension ref="A2:O20"/>
  <sheetViews>
    <sheetView topLeftCell="B1" workbookViewId="0">
      <selection activeCell="G22" sqref="G22"/>
    </sheetView>
  </sheetViews>
  <sheetFormatPr defaultRowHeight="14.4" x14ac:dyDescent="0.3"/>
  <cols>
    <col min="1" max="1" width="19.6640625" bestFit="1" customWidth="1"/>
    <col min="2" max="2" width="16.77734375" bestFit="1" customWidth="1"/>
    <col min="3" max="4" width="12" bestFit="1" customWidth="1"/>
  </cols>
  <sheetData>
    <row r="2" spans="1:15" x14ac:dyDescent="0.3">
      <c r="F2" s="16"/>
      <c r="G2" s="16"/>
      <c r="H2" s="16"/>
      <c r="I2" s="16"/>
      <c r="J2" s="16"/>
      <c r="K2" s="16"/>
      <c r="L2" s="16"/>
      <c r="M2" s="16"/>
      <c r="N2" s="16"/>
      <c r="O2" s="16"/>
    </row>
    <row r="3" spans="1:15" x14ac:dyDescent="0.3">
      <c r="A3" s="8" t="s">
        <v>612</v>
      </c>
      <c r="B3" s="8" t="s">
        <v>613</v>
      </c>
      <c r="F3" s="16"/>
      <c r="G3" s="16"/>
      <c r="H3" s="16"/>
      <c r="I3" s="16"/>
      <c r="J3" s="16"/>
      <c r="K3" s="16"/>
      <c r="L3" s="16"/>
      <c r="M3" s="16"/>
      <c r="N3" s="16"/>
      <c r="O3" s="16"/>
    </row>
    <row r="4" spans="1:15" x14ac:dyDescent="0.3">
      <c r="A4" s="8" t="s">
        <v>610</v>
      </c>
      <c r="B4" t="s">
        <v>32</v>
      </c>
      <c r="C4" t="s">
        <v>611</v>
      </c>
      <c r="F4" s="16"/>
      <c r="G4" s="16"/>
      <c r="H4" s="16"/>
      <c r="I4" s="16"/>
      <c r="J4" s="16"/>
      <c r="K4" s="16"/>
      <c r="L4" s="16"/>
      <c r="M4" s="16"/>
      <c r="N4" s="16"/>
      <c r="O4" s="16"/>
    </row>
    <row r="5" spans="1:15" x14ac:dyDescent="0.3">
      <c r="A5" s="9" t="s">
        <v>61</v>
      </c>
      <c r="B5" s="17">
        <v>5</v>
      </c>
      <c r="C5" s="17">
        <v>5</v>
      </c>
      <c r="F5" s="16"/>
      <c r="G5" s="16"/>
      <c r="H5" s="16"/>
      <c r="I5" s="16"/>
      <c r="J5" s="16"/>
      <c r="K5" s="16"/>
      <c r="L5" s="16"/>
      <c r="M5" s="16"/>
      <c r="N5" s="16"/>
      <c r="O5" s="16"/>
    </row>
    <row r="6" spans="1:15" x14ac:dyDescent="0.3">
      <c r="A6" s="9" t="s">
        <v>40</v>
      </c>
      <c r="B6" s="17">
        <v>6</v>
      </c>
      <c r="C6" s="17">
        <v>6</v>
      </c>
      <c r="F6" s="16"/>
      <c r="G6" s="16"/>
      <c r="H6" s="16"/>
      <c r="I6" s="16"/>
      <c r="J6" s="16"/>
      <c r="K6" s="16"/>
      <c r="L6" s="16"/>
      <c r="M6" s="16"/>
      <c r="N6" s="16"/>
      <c r="O6" s="16"/>
    </row>
    <row r="7" spans="1:15" x14ac:dyDescent="0.3">
      <c r="A7" s="9" t="s">
        <v>55</v>
      </c>
      <c r="B7" s="17">
        <v>3</v>
      </c>
      <c r="C7" s="17">
        <v>3</v>
      </c>
      <c r="F7" s="16"/>
      <c r="G7" s="16"/>
      <c r="H7" s="16"/>
      <c r="I7" s="16"/>
      <c r="J7" s="16"/>
      <c r="K7" s="16"/>
      <c r="L7" s="16"/>
      <c r="M7" s="16"/>
      <c r="N7" s="16"/>
      <c r="O7" s="16"/>
    </row>
    <row r="8" spans="1:15" x14ac:dyDescent="0.3">
      <c r="A8" s="9" t="s">
        <v>80</v>
      </c>
      <c r="B8" s="17">
        <v>4</v>
      </c>
      <c r="C8" s="17">
        <v>4</v>
      </c>
      <c r="F8" s="16"/>
      <c r="G8" s="16"/>
      <c r="H8" s="16"/>
      <c r="I8" s="16"/>
      <c r="J8" s="16"/>
      <c r="K8" s="16"/>
      <c r="L8" s="16"/>
      <c r="M8" s="16"/>
      <c r="N8" s="16"/>
      <c r="O8" s="16"/>
    </row>
    <row r="9" spans="1:15" x14ac:dyDescent="0.3">
      <c r="A9" s="9" t="s">
        <v>68</v>
      </c>
      <c r="B9" s="17">
        <v>3</v>
      </c>
      <c r="C9" s="17">
        <v>3</v>
      </c>
      <c r="F9" s="16"/>
      <c r="G9" s="16"/>
      <c r="H9" s="16"/>
      <c r="I9" s="16"/>
      <c r="J9" s="16"/>
      <c r="K9" s="16"/>
      <c r="L9" s="16"/>
      <c r="M9" s="16"/>
      <c r="N9" s="16"/>
      <c r="O9" s="16"/>
    </row>
    <row r="10" spans="1:15" x14ac:dyDescent="0.3">
      <c r="A10" s="9" t="s">
        <v>23</v>
      </c>
      <c r="B10" s="17">
        <v>1</v>
      </c>
      <c r="C10" s="17">
        <v>1</v>
      </c>
      <c r="F10" s="16"/>
      <c r="G10" s="16"/>
      <c r="H10" s="16"/>
      <c r="I10" s="16"/>
      <c r="J10" s="16"/>
      <c r="K10" s="16"/>
      <c r="L10" s="16"/>
      <c r="M10" s="16"/>
      <c r="N10" s="16"/>
      <c r="O10" s="16"/>
    </row>
    <row r="11" spans="1:15" x14ac:dyDescent="0.3">
      <c r="A11" s="9" t="s">
        <v>611</v>
      </c>
      <c r="B11" s="17">
        <v>22</v>
      </c>
      <c r="C11" s="17">
        <v>22</v>
      </c>
      <c r="F11" s="16"/>
      <c r="G11" s="16"/>
      <c r="H11" s="16"/>
      <c r="I11" s="16"/>
      <c r="J11" s="16"/>
      <c r="K11" s="16"/>
      <c r="L11" s="16"/>
      <c r="M11" s="16"/>
      <c r="N11" s="16"/>
      <c r="O11" s="16"/>
    </row>
    <row r="12" spans="1:15" x14ac:dyDescent="0.3">
      <c r="F12" s="16"/>
      <c r="G12" s="16"/>
      <c r="H12" s="16"/>
      <c r="I12" s="16"/>
      <c r="J12" s="16"/>
      <c r="K12" s="16"/>
      <c r="L12" s="16"/>
      <c r="M12" s="16"/>
      <c r="N12" s="16"/>
      <c r="O12" s="16"/>
    </row>
    <row r="13" spans="1:15" x14ac:dyDescent="0.3">
      <c r="F13" s="16"/>
      <c r="G13" s="16"/>
      <c r="H13" s="16"/>
      <c r="I13" s="16"/>
      <c r="J13" s="16"/>
      <c r="K13" s="16"/>
      <c r="L13" s="16"/>
      <c r="M13" s="16"/>
      <c r="N13" s="16"/>
      <c r="O13" s="16"/>
    </row>
    <row r="14" spans="1:15" x14ac:dyDescent="0.3">
      <c r="F14" s="16"/>
      <c r="G14" s="16"/>
      <c r="H14" s="16"/>
      <c r="I14" s="16"/>
      <c r="J14" s="16"/>
      <c r="K14" s="16"/>
      <c r="L14" s="16"/>
      <c r="M14" s="16"/>
      <c r="N14" s="16"/>
      <c r="O14" s="16"/>
    </row>
    <row r="15" spans="1:15" x14ac:dyDescent="0.3">
      <c r="F15" s="16"/>
      <c r="G15" s="16"/>
      <c r="H15" s="16"/>
      <c r="I15" s="16"/>
      <c r="J15" s="16"/>
      <c r="K15" s="16"/>
      <c r="L15" s="16"/>
      <c r="M15" s="16"/>
      <c r="N15" s="16"/>
      <c r="O15" s="16"/>
    </row>
    <row r="16" spans="1:15" x14ac:dyDescent="0.3">
      <c r="F16" s="16"/>
      <c r="G16" s="16"/>
      <c r="H16" s="16"/>
      <c r="I16" s="16"/>
      <c r="J16" s="16"/>
      <c r="K16" s="16"/>
      <c r="L16" s="16"/>
      <c r="M16" s="16"/>
      <c r="N16" s="16"/>
      <c r="O16" s="16"/>
    </row>
    <row r="17" spans="6:15" x14ac:dyDescent="0.3">
      <c r="F17" s="16"/>
      <c r="G17" s="16"/>
      <c r="H17" s="16"/>
      <c r="I17" s="16"/>
      <c r="J17" s="16"/>
      <c r="K17" s="16"/>
      <c r="L17" s="16"/>
      <c r="M17" s="16"/>
      <c r="N17" s="16"/>
      <c r="O17" s="16"/>
    </row>
    <row r="18" spans="6:15" x14ac:dyDescent="0.3">
      <c r="F18" s="16"/>
      <c r="G18" s="16"/>
      <c r="H18" s="16"/>
      <c r="I18" s="16"/>
      <c r="J18" s="16"/>
      <c r="K18" s="16"/>
      <c r="L18" s="16"/>
      <c r="M18" s="16"/>
      <c r="N18" s="16"/>
      <c r="O18" s="16"/>
    </row>
    <row r="19" spans="6:15" x14ac:dyDescent="0.3">
      <c r="F19" s="16"/>
      <c r="G19" s="16"/>
      <c r="H19" s="16"/>
      <c r="I19" s="16"/>
      <c r="J19" s="16"/>
      <c r="K19" s="16"/>
      <c r="L19" s="16"/>
      <c r="M19" s="16"/>
      <c r="N19" s="16"/>
      <c r="O19" s="16"/>
    </row>
    <row r="20" spans="6:15" x14ac:dyDescent="0.3">
      <c r="F20" s="16"/>
      <c r="G20" s="16"/>
      <c r="H20" s="16"/>
      <c r="I20" s="16"/>
      <c r="J20" s="16"/>
      <c r="K20" s="16"/>
      <c r="L20" s="16"/>
      <c r="M20" s="16"/>
      <c r="N20" s="16"/>
      <c r="O20" s="16"/>
    </row>
  </sheetData>
  <mergeCells count="1">
    <mergeCell ref="F2:O20"/>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63DCB-AA8D-4A76-BE07-D444FB478E76}">
  <dimension ref="A2:O20"/>
  <sheetViews>
    <sheetView workbookViewId="0">
      <selection activeCell="J21" sqref="J21"/>
    </sheetView>
  </sheetViews>
  <sheetFormatPr defaultRowHeight="14.4" x14ac:dyDescent="0.3"/>
  <cols>
    <col min="1" max="1" width="13.5546875" bestFit="1" customWidth="1"/>
    <col min="2" max="2" width="23.33203125" bestFit="1" customWidth="1"/>
  </cols>
  <sheetData>
    <row r="2" spans="1:15" x14ac:dyDescent="0.3">
      <c r="D2" s="13"/>
      <c r="E2" s="13"/>
      <c r="F2" s="13"/>
      <c r="G2" s="13"/>
      <c r="H2" s="13"/>
      <c r="I2" s="13"/>
      <c r="J2" s="13"/>
      <c r="K2" s="13"/>
      <c r="L2" s="13"/>
      <c r="M2" s="13"/>
      <c r="N2" s="13"/>
      <c r="O2" s="13"/>
    </row>
    <row r="3" spans="1:15" x14ac:dyDescent="0.3">
      <c r="A3" s="8" t="s">
        <v>610</v>
      </c>
      <c r="B3" t="s">
        <v>614</v>
      </c>
      <c r="D3" s="13"/>
      <c r="E3" s="13"/>
      <c r="F3" s="13"/>
      <c r="G3" s="13"/>
      <c r="H3" s="13"/>
      <c r="I3" s="13"/>
      <c r="J3" s="13"/>
      <c r="K3" s="13"/>
      <c r="L3" s="13"/>
      <c r="M3" s="13"/>
      <c r="N3" s="13"/>
      <c r="O3" s="13"/>
    </row>
    <row r="4" spans="1:15" x14ac:dyDescent="0.3">
      <c r="A4" s="9" t="s">
        <v>24</v>
      </c>
      <c r="B4" s="17">
        <v>39768</v>
      </c>
      <c r="D4" s="13"/>
      <c r="E4" s="13"/>
      <c r="F4" s="13"/>
      <c r="G4" s="13"/>
      <c r="H4" s="13"/>
      <c r="I4" s="13"/>
      <c r="J4" s="13"/>
      <c r="K4" s="13"/>
      <c r="L4" s="13"/>
      <c r="M4" s="13"/>
      <c r="N4" s="13"/>
      <c r="O4" s="13"/>
    </row>
    <row r="5" spans="1:15" x14ac:dyDescent="0.3">
      <c r="A5" s="9" t="s">
        <v>111</v>
      </c>
      <c r="B5" s="17">
        <v>220517</v>
      </c>
      <c r="D5" s="13"/>
      <c r="E5" s="13"/>
      <c r="F5" s="13"/>
      <c r="G5" s="13"/>
      <c r="H5" s="13"/>
      <c r="I5" s="13"/>
      <c r="J5" s="13"/>
      <c r="K5" s="13"/>
      <c r="L5" s="13"/>
      <c r="M5" s="13"/>
      <c r="N5" s="13"/>
      <c r="O5" s="13"/>
    </row>
    <row r="6" spans="1:15" x14ac:dyDescent="0.3">
      <c r="A6" s="9" t="s">
        <v>41</v>
      </c>
      <c r="B6" s="17">
        <v>460203</v>
      </c>
      <c r="D6" s="13"/>
      <c r="E6" s="13"/>
      <c r="F6" s="13"/>
      <c r="G6" s="13"/>
      <c r="H6" s="13"/>
      <c r="I6" s="13"/>
      <c r="J6" s="13"/>
      <c r="K6" s="13"/>
      <c r="L6" s="13"/>
      <c r="M6" s="13"/>
      <c r="N6" s="13"/>
      <c r="O6" s="13"/>
    </row>
    <row r="7" spans="1:15" x14ac:dyDescent="0.3">
      <c r="A7" s="9" t="s">
        <v>62</v>
      </c>
      <c r="B7" s="17">
        <v>113784</v>
      </c>
      <c r="D7" s="13"/>
      <c r="E7" s="13"/>
      <c r="F7" s="13"/>
      <c r="G7" s="13"/>
      <c r="H7" s="13"/>
      <c r="I7" s="13"/>
      <c r="J7" s="13"/>
      <c r="K7" s="13"/>
      <c r="L7" s="13"/>
      <c r="M7" s="13"/>
      <c r="N7" s="13"/>
      <c r="O7" s="13"/>
    </row>
    <row r="8" spans="1:15" x14ac:dyDescent="0.3">
      <c r="A8" s="9" t="s">
        <v>81</v>
      </c>
      <c r="B8" s="17">
        <v>104049</v>
      </c>
      <c r="D8" s="13"/>
      <c r="E8" s="13"/>
      <c r="F8" s="13"/>
      <c r="G8" s="13"/>
      <c r="H8" s="13"/>
      <c r="I8" s="13"/>
      <c r="J8" s="13"/>
      <c r="K8" s="13"/>
      <c r="L8" s="13"/>
      <c r="M8" s="13"/>
      <c r="N8" s="13"/>
      <c r="O8" s="13"/>
    </row>
    <row r="9" spans="1:15" x14ac:dyDescent="0.3">
      <c r="A9" s="9" t="s">
        <v>88</v>
      </c>
      <c r="B9" s="17">
        <v>272402</v>
      </c>
      <c r="D9" s="13"/>
      <c r="E9" s="13"/>
      <c r="F9" s="13"/>
      <c r="G9" s="13"/>
      <c r="H9" s="13"/>
      <c r="I9" s="13"/>
      <c r="J9" s="13"/>
      <c r="K9" s="13"/>
      <c r="L9" s="13"/>
      <c r="M9" s="13"/>
      <c r="N9" s="13"/>
      <c r="O9" s="13"/>
    </row>
    <row r="10" spans="1:15" x14ac:dyDescent="0.3">
      <c r="A10" s="9" t="s">
        <v>611</v>
      </c>
      <c r="B10" s="17">
        <v>1210723</v>
      </c>
      <c r="D10" s="13"/>
      <c r="E10" s="13"/>
      <c r="F10" s="13"/>
      <c r="G10" s="13"/>
      <c r="H10" s="13"/>
      <c r="I10" s="13"/>
      <c r="J10" s="13"/>
      <c r="K10" s="13"/>
      <c r="L10" s="13"/>
      <c r="M10" s="13"/>
      <c r="N10" s="13"/>
      <c r="O10" s="13"/>
    </row>
    <row r="11" spans="1:15" x14ac:dyDescent="0.3">
      <c r="D11" s="13"/>
      <c r="E11" s="13"/>
      <c r="F11" s="13"/>
      <c r="G11" s="13"/>
      <c r="H11" s="13"/>
      <c r="I11" s="13"/>
      <c r="J11" s="13"/>
      <c r="K11" s="13"/>
      <c r="L11" s="13"/>
      <c r="M11" s="13"/>
      <c r="N11" s="13"/>
      <c r="O11" s="13"/>
    </row>
    <row r="12" spans="1:15" x14ac:dyDescent="0.3">
      <c r="B12" s="12">
        <f>GETPIVOTDATA("Treatment_Cost",$A$3)</f>
        <v>1210723</v>
      </c>
      <c r="D12" s="13"/>
      <c r="E12" s="13"/>
      <c r="F12" s="13"/>
      <c r="G12" s="13"/>
      <c r="H12" s="13"/>
      <c r="I12" s="13"/>
      <c r="J12" s="13"/>
      <c r="K12" s="13"/>
      <c r="L12" s="13"/>
      <c r="M12" s="13"/>
      <c r="N12" s="13"/>
      <c r="O12" s="13"/>
    </row>
    <row r="13" spans="1:15" x14ac:dyDescent="0.3">
      <c r="D13" s="13"/>
      <c r="E13" s="13"/>
      <c r="F13" s="13"/>
      <c r="G13" s="13"/>
      <c r="H13" s="13"/>
      <c r="I13" s="13"/>
      <c r="J13" s="13"/>
      <c r="K13" s="13"/>
      <c r="L13" s="13"/>
      <c r="M13" s="13"/>
      <c r="N13" s="13"/>
      <c r="O13" s="13"/>
    </row>
    <row r="14" spans="1:15" x14ac:dyDescent="0.3">
      <c r="D14" s="13"/>
      <c r="E14" s="13"/>
      <c r="F14" s="13"/>
      <c r="G14" s="13"/>
      <c r="H14" s="13"/>
      <c r="I14" s="13"/>
      <c r="J14" s="13"/>
      <c r="K14" s="13"/>
      <c r="L14" s="13"/>
      <c r="M14" s="13"/>
      <c r="N14" s="13"/>
      <c r="O14" s="13"/>
    </row>
    <row r="15" spans="1:15" x14ac:dyDescent="0.3">
      <c r="D15" s="13"/>
      <c r="E15" s="13"/>
      <c r="F15" s="13"/>
      <c r="G15" s="13"/>
      <c r="H15" s="13"/>
      <c r="I15" s="13"/>
      <c r="J15" s="13"/>
      <c r="K15" s="13"/>
      <c r="L15" s="13"/>
      <c r="M15" s="13"/>
      <c r="N15" s="13"/>
      <c r="O15" s="13"/>
    </row>
    <row r="16" spans="1:15" x14ac:dyDescent="0.3">
      <c r="D16" s="13"/>
      <c r="E16" s="13"/>
      <c r="F16" s="13"/>
      <c r="G16" s="13"/>
      <c r="H16" s="13"/>
      <c r="I16" s="13"/>
      <c r="J16" s="13"/>
      <c r="K16" s="13"/>
      <c r="L16" s="13"/>
      <c r="M16" s="13"/>
      <c r="N16" s="13"/>
      <c r="O16" s="13"/>
    </row>
    <row r="17" spans="4:15" x14ac:dyDescent="0.3">
      <c r="D17" s="13"/>
      <c r="E17" s="13"/>
      <c r="F17" s="13"/>
      <c r="G17" s="13"/>
      <c r="H17" s="13"/>
      <c r="I17" s="13"/>
      <c r="J17" s="13"/>
      <c r="K17" s="13"/>
      <c r="L17" s="13"/>
      <c r="M17" s="13"/>
      <c r="N17" s="13"/>
      <c r="O17" s="13"/>
    </row>
    <row r="18" spans="4:15" x14ac:dyDescent="0.3">
      <c r="D18" s="13"/>
      <c r="E18" s="13"/>
      <c r="F18" s="13"/>
      <c r="G18" s="13"/>
      <c r="H18" s="13"/>
      <c r="I18" s="13"/>
      <c r="J18" s="13"/>
      <c r="K18" s="13"/>
      <c r="L18" s="13"/>
      <c r="M18" s="13"/>
      <c r="N18" s="13"/>
      <c r="O18" s="13"/>
    </row>
    <row r="19" spans="4:15" ht="11.4" customHeight="1" x14ac:dyDescent="0.3">
      <c r="D19" s="14"/>
      <c r="E19" s="13"/>
      <c r="F19" s="13"/>
      <c r="G19" s="13"/>
      <c r="H19" s="13"/>
      <c r="I19" s="13"/>
      <c r="J19" s="13"/>
      <c r="K19" s="13"/>
      <c r="L19" s="13"/>
      <c r="M19" s="13"/>
      <c r="N19" s="13"/>
      <c r="O19" s="13"/>
    </row>
    <row r="20" spans="4:15" x14ac:dyDescent="0.3">
      <c r="D20" s="15" t="s">
        <v>627</v>
      </c>
      <c r="E20" s="13"/>
      <c r="F20" s="13"/>
      <c r="G20" s="13"/>
      <c r="H20" s="13"/>
      <c r="I20" s="13"/>
      <c r="J20" s="13"/>
      <c r="K20" s="13"/>
      <c r="L20" s="13"/>
      <c r="M20" s="13"/>
      <c r="N20" s="13"/>
      <c r="O20" s="1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2253-E8E8-4F2D-B2F6-E6FCCC6CA4BC}">
  <dimension ref="A2:N19"/>
  <sheetViews>
    <sheetView workbookViewId="0">
      <selection activeCell="E24" sqref="E24"/>
    </sheetView>
  </sheetViews>
  <sheetFormatPr defaultRowHeight="14.4" x14ac:dyDescent="0.3"/>
  <cols>
    <col min="1" max="1" width="13.5546875" bestFit="1" customWidth="1"/>
    <col min="2" max="2" width="23.33203125" bestFit="1" customWidth="1"/>
  </cols>
  <sheetData>
    <row r="2" spans="1:14" x14ac:dyDescent="0.3">
      <c r="D2" s="13"/>
      <c r="E2" s="13"/>
      <c r="F2" s="13"/>
      <c r="G2" s="13"/>
      <c r="H2" s="13"/>
      <c r="I2" s="13"/>
      <c r="J2" s="13"/>
      <c r="K2" s="13"/>
      <c r="L2" s="13"/>
      <c r="M2" s="13"/>
      <c r="N2" s="13"/>
    </row>
    <row r="3" spans="1:14" x14ac:dyDescent="0.3">
      <c r="A3" s="8" t="s">
        <v>610</v>
      </c>
      <c r="B3" t="s">
        <v>614</v>
      </c>
      <c r="D3" s="13"/>
      <c r="E3" s="13"/>
      <c r="F3" s="13"/>
      <c r="G3" s="13"/>
      <c r="H3" s="13"/>
      <c r="I3" s="13"/>
      <c r="J3" s="13"/>
      <c r="K3" s="13"/>
      <c r="L3" s="13"/>
      <c r="M3" s="13"/>
      <c r="N3" s="13"/>
    </row>
    <row r="4" spans="1:14" x14ac:dyDescent="0.3">
      <c r="A4" s="9">
        <v>2024</v>
      </c>
      <c r="B4" s="17">
        <v>1210723</v>
      </c>
      <c r="D4" s="13"/>
      <c r="E4" s="13"/>
      <c r="F4" s="13"/>
      <c r="G4" s="13"/>
      <c r="H4" s="13"/>
      <c r="I4" s="13"/>
      <c r="J4" s="13"/>
      <c r="K4" s="13"/>
      <c r="L4" s="13"/>
      <c r="M4" s="13"/>
      <c r="N4" s="13"/>
    </row>
    <row r="5" spans="1:14" x14ac:dyDescent="0.3">
      <c r="A5" s="10" t="s">
        <v>615</v>
      </c>
      <c r="B5" s="17">
        <v>73595</v>
      </c>
      <c r="D5" s="13"/>
      <c r="E5" s="13"/>
      <c r="F5" s="13"/>
      <c r="G5" s="13"/>
      <c r="H5" s="13"/>
      <c r="I5" s="13"/>
      <c r="J5" s="13"/>
      <c r="K5" s="13"/>
      <c r="L5" s="13"/>
      <c r="M5" s="13"/>
      <c r="N5" s="13"/>
    </row>
    <row r="6" spans="1:14" x14ac:dyDescent="0.3">
      <c r="A6" s="10" t="s">
        <v>617</v>
      </c>
      <c r="B6" s="17">
        <v>247521</v>
      </c>
      <c r="D6" s="13"/>
      <c r="E6" s="13"/>
      <c r="F6" s="13"/>
      <c r="G6" s="13"/>
      <c r="H6" s="13"/>
      <c r="I6" s="13"/>
      <c r="J6" s="13"/>
      <c r="K6" s="13"/>
      <c r="L6" s="13"/>
      <c r="M6" s="13"/>
      <c r="N6" s="13"/>
    </row>
    <row r="7" spans="1:14" x14ac:dyDescent="0.3">
      <c r="A7" s="10" t="s">
        <v>618</v>
      </c>
      <c r="B7" s="17">
        <v>9859</v>
      </c>
      <c r="D7" s="13"/>
      <c r="E7" s="13"/>
      <c r="F7" s="13"/>
      <c r="G7" s="13"/>
      <c r="H7" s="13"/>
      <c r="I7" s="13"/>
      <c r="J7" s="13"/>
      <c r="K7" s="13"/>
      <c r="L7" s="13"/>
      <c r="M7" s="13"/>
      <c r="N7" s="13"/>
    </row>
    <row r="8" spans="1:14" x14ac:dyDescent="0.3">
      <c r="A8" s="10" t="s">
        <v>619</v>
      </c>
      <c r="B8" s="17">
        <v>196380</v>
      </c>
      <c r="D8" s="13"/>
      <c r="E8" s="13"/>
      <c r="F8" s="13"/>
      <c r="G8" s="13"/>
      <c r="H8" s="13"/>
      <c r="I8" s="13"/>
      <c r="J8" s="13"/>
      <c r="K8" s="13"/>
      <c r="L8" s="13"/>
      <c r="M8" s="13"/>
      <c r="N8" s="13"/>
    </row>
    <row r="9" spans="1:14" x14ac:dyDescent="0.3">
      <c r="A9" s="10" t="s">
        <v>620</v>
      </c>
      <c r="B9" s="17">
        <v>108239</v>
      </c>
      <c r="D9" s="13"/>
      <c r="E9" s="13"/>
      <c r="F9" s="13"/>
      <c r="G9" s="13"/>
      <c r="H9" s="13"/>
      <c r="I9" s="13"/>
      <c r="J9" s="13"/>
      <c r="K9" s="13"/>
      <c r="L9" s="13"/>
      <c r="M9" s="13"/>
      <c r="N9" s="13"/>
    </row>
    <row r="10" spans="1:14" x14ac:dyDescent="0.3">
      <c r="A10" s="10" t="s">
        <v>621</v>
      </c>
      <c r="B10" s="17">
        <v>29909</v>
      </c>
      <c r="D10" s="13"/>
      <c r="E10" s="13"/>
      <c r="F10" s="13"/>
      <c r="G10" s="13"/>
      <c r="H10" s="13"/>
      <c r="I10" s="13"/>
      <c r="J10" s="13"/>
      <c r="K10" s="13"/>
      <c r="L10" s="13"/>
      <c r="M10" s="13"/>
      <c r="N10" s="13"/>
    </row>
    <row r="11" spans="1:14" x14ac:dyDescent="0.3">
      <c r="A11" s="10" t="s">
        <v>622</v>
      </c>
      <c r="B11" s="17">
        <v>130535</v>
      </c>
      <c r="D11" s="13"/>
      <c r="E11" s="13"/>
      <c r="F11" s="13"/>
      <c r="G11" s="13"/>
      <c r="H11" s="13"/>
      <c r="I11" s="13"/>
      <c r="J11" s="13"/>
      <c r="K11" s="13"/>
      <c r="L11" s="13"/>
      <c r="M11" s="13"/>
      <c r="N11" s="13"/>
    </row>
    <row r="12" spans="1:14" x14ac:dyDescent="0.3">
      <c r="A12" s="10" t="s">
        <v>623</v>
      </c>
      <c r="B12" s="17">
        <v>34068</v>
      </c>
      <c r="D12" s="13"/>
      <c r="E12" s="13"/>
      <c r="F12" s="13"/>
      <c r="G12" s="13"/>
      <c r="H12" s="13"/>
      <c r="I12" s="13"/>
      <c r="J12" s="13"/>
      <c r="K12" s="13"/>
      <c r="L12" s="13"/>
      <c r="M12" s="13"/>
      <c r="N12" s="13"/>
    </row>
    <row r="13" spans="1:14" x14ac:dyDescent="0.3">
      <c r="A13" s="10" t="s">
        <v>624</v>
      </c>
      <c r="B13" s="17">
        <v>277307</v>
      </c>
      <c r="D13" s="13"/>
      <c r="E13" s="13"/>
      <c r="F13" s="13"/>
      <c r="G13" s="13"/>
      <c r="H13" s="13"/>
      <c r="I13" s="13"/>
      <c r="J13" s="13"/>
      <c r="K13" s="13"/>
      <c r="L13" s="13"/>
      <c r="M13" s="13"/>
      <c r="N13" s="13"/>
    </row>
    <row r="14" spans="1:14" x14ac:dyDescent="0.3">
      <c r="A14" s="10" t="s">
        <v>625</v>
      </c>
      <c r="B14" s="17">
        <v>73432</v>
      </c>
      <c r="D14" s="13"/>
      <c r="E14" s="13"/>
      <c r="F14" s="13"/>
      <c r="G14" s="13"/>
      <c r="H14" s="13"/>
      <c r="I14" s="13"/>
      <c r="J14" s="13"/>
      <c r="K14" s="13"/>
      <c r="L14" s="13"/>
      <c r="M14" s="13"/>
      <c r="N14" s="13"/>
    </row>
    <row r="15" spans="1:14" x14ac:dyDescent="0.3">
      <c r="A15" s="10" t="s">
        <v>626</v>
      </c>
      <c r="B15" s="17">
        <v>29878</v>
      </c>
      <c r="D15" s="13"/>
      <c r="E15" s="13"/>
      <c r="F15" s="13"/>
      <c r="G15" s="13"/>
      <c r="H15" s="13"/>
      <c r="I15" s="13"/>
      <c r="J15" s="13"/>
      <c r="K15" s="13"/>
      <c r="L15" s="13"/>
      <c r="M15" s="13"/>
      <c r="N15" s="13"/>
    </row>
    <row r="16" spans="1:14" x14ac:dyDescent="0.3">
      <c r="A16" s="9" t="s">
        <v>611</v>
      </c>
      <c r="B16" s="17">
        <v>1210723</v>
      </c>
      <c r="D16" s="13"/>
      <c r="E16" s="13"/>
      <c r="F16" s="13"/>
      <c r="G16" s="13"/>
      <c r="H16" s="13"/>
      <c r="I16" s="13"/>
      <c r="J16" s="13"/>
      <c r="K16" s="13"/>
      <c r="L16" s="13"/>
      <c r="M16" s="13"/>
      <c r="N16" s="13"/>
    </row>
    <row r="17" spans="4:14" x14ac:dyDescent="0.3">
      <c r="D17" s="13"/>
      <c r="E17" s="13"/>
      <c r="F17" s="13"/>
      <c r="G17" s="13"/>
      <c r="H17" s="13"/>
      <c r="I17" s="13"/>
      <c r="J17" s="13"/>
      <c r="K17" s="13"/>
      <c r="L17" s="13"/>
      <c r="M17" s="13"/>
      <c r="N17" s="13"/>
    </row>
    <row r="18" spans="4:14" x14ac:dyDescent="0.3">
      <c r="D18" s="13"/>
      <c r="E18" s="13"/>
      <c r="F18" s="13"/>
      <c r="G18" s="13"/>
      <c r="H18" s="13"/>
      <c r="I18" s="13"/>
      <c r="J18" s="13"/>
      <c r="K18" s="13"/>
      <c r="L18" s="13"/>
      <c r="M18" s="13"/>
      <c r="N18" s="13"/>
    </row>
    <row r="19" spans="4:14" x14ac:dyDescent="0.3">
      <c r="D19" s="13"/>
      <c r="E19" s="13"/>
      <c r="F19" s="13"/>
      <c r="G19" s="13"/>
      <c r="H19" s="13"/>
      <c r="I19" s="13"/>
      <c r="J19" s="13"/>
      <c r="K19" s="13"/>
      <c r="L19" s="13"/>
      <c r="M19" s="13"/>
      <c r="N19" s="13"/>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314BD-2CFC-43F4-B63F-4CD2A29EAEB4}">
  <dimension ref="A3:L20"/>
  <sheetViews>
    <sheetView workbookViewId="0">
      <selection activeCell="K25" sqref="K25"/>
    </sheetView>
  </sheetViews>
  <sheetFormatPr defaultRowHeight="14.4" x14ac:dyDescent="0.3"/>
  <cols>
    <col min="1" max="1" width="16.44140625" bestFit="1" customWidth="1"/>
    <col min="2" max="2" width="19.6640625" bestFit="1" customWidth="1"/>
  </cols>
  <sheetData>
    <row r="3" spans="1:12" x14ac:dyDescent="0.3">
      <c r="A3" s="8" t="s">
        <v>610</v>
      </c>
      <c r="B3" t="s">
        <v>612</v>
      </c>
      <c r="D3" s="13"/>
      <c r="E3" s="13"/>
      <c r="F3" s="13"/>
      <c r="G3" s="13"/>
      <c r="H3" s="13"/>
      <c r="I3" s="13"/>
      <c r="J3" s="13"/>
      <c r="K3" s="13"/>
      <c r="L3" s="13"/>
    </row>
    <row r="4" spans="1:12" x14ac:dyDescent="0.3">
      <c r="A4" s="9" t="s">
        <v>29</v>
      </c>
      <c r="B4" s="17">
        <v>7</v>
      </c>
      <c r="D4" s="13"/>
      <c r="E4" s="13"/>
      <c r="F4" s="13"/>
      <c r="G4" s="13"/>
      <c r="H4" s="13"/>
      <c r="I4" s="13"/>
      <c r="J4" s="13"/>
      <c r="K4" s="13"/>
      <c r="L4" s="13"/>
    </row>
    <row r="5" spans="1:12" x14ac:dyDescent="0.3">
      <c r="A5" s="9" t="s">
        <v>46</v>
      </c>
      <c r="B5" s="17">
        <v>9</v>
      </c>
      <c r="D5" s="13"/>
      <c r="E5" s="13"/>
      <c r="F5" s="13"/>
      <c r="G5" s="13"/>
      <c r="H5" s="13"/>
      <c r="I5" s="13"/>
      <c r="J5" s="13"/>
      <c r="K5" s="13"/>
      <c r="L5" s="13"/>
    </row>
    <row r="6" spans="1:12" x14ac:dyDescent="0.3">
      <c r="A6" s="9" t="s">
        <v>77</v>
      </c>
      <c r="B6" s="17">
        <v>6</v>
      </c>
      <c r="D6" s="13"/>
      <c r="E6" s="13"/>
      <c r="F6" s="13"/>
      <c r="G6" s="13"/>
      <c r="H6" s="13"/>
      <c r="I6" s="13"/>
      <c r="J6" s="13"/>
      <c r="K6" s="13"/>
      <c r="L6" s="13"/>
    </row>
    <row r="7" spans="1:12" x14ac:dyDescent="0.3">
      <c r="A7" s="9" t="s">
        <v>611</v>
      </c>
      <c r="B7" s="17">
        <v>22</v>
      </c>
      <c r="D7" s="13"/>
      <c r="E7" s="13"/>
      <c r="F7" s="13"/>
      <c r="G7" s="13"/>
      <c r="H7" s="13"/>
      <c r="I7" s="13"/>
      <c r="J7" s="13"/>
      <c r="K7" s="13"/>
      <c r="L7" s="13"/>
    </row>
    <row r="8" spans="1:12" x14ac:dyDescent="0.3">
      <c r="D8" s="13"/>
      <c r="E8" s="13"/>
      <c r="F8" s="13"/>
      <c r="G8" s="13"/>
      <c r="H8" s="13"/>
      <c r="I8" s="13"/>
      <c r="J8" s="13"/>
      <c r="K8" s="13"/>
      <c r="L8" s="13"/>
    </row>
    <row r="9" spans="1:12" x14ac:dyDescent="0.3">
      <c r="D9" s="13"/>
      <c r="E9" s="13"/>
      <c r="F9" s="13"/>
      <c r="G9" s="13"/>
      <c r="H9" s="13"/>
      <c r="I9" s="13"/>
      <c r="J9" s="13"/>
      <c r="K9" s="13"/>
      <c r="L9" s="13"/>
    </row>
    <row r="10" spans="1:12" x14ac:dyDescent="0.3">
      <c r="D10" s="13"/>
      <c r="E10" s="13"/>
      <c r="F10" s="13"/>
      <c r="G10" s="13"/>
      <c r="H10" s="13"/>
      <c r="I10" s="13"/>
      <c r="J10" s="13"/>
      <c r="K10" s="13"/>
      <c r="L10" s="13"/>
    </row>
    <row r="11" spans="1:12" x14ac:dyDescent="0.3">
      <c r="D11" s="13"/>
      <c r="E11" s="13"/>
      <c r="F11" s="13"/>
      <c r="G11" s="13"/>
      <c r="H11" s="13"/>
      <c r="I11" s="13"/>
      <c r="J11" s="13"/>
      <c r="K11" s="13"/>
      <c r="L11" s="13"/>
    </row>
    <row r="12" spans="1:12" x14ac:dyDescent="0.3">
      <c r="D12" s="13"/>
      <c r="E12" s="13"/>
      <c r="F12" s="13"/>
      <c r="G12" s="13"/>
      <c r="H12" s="13"/>
      <c r="I12" s="13"/>
      <c r="J12" s="13"/>
      <c r="K12" s="13"/>
      <c r="L12" s="13"/>
    </row>
    <row r="13" spans="1:12" x14ac:dyDescent="0.3">
      <c r="D13" s="13"/>
      <c r="E13" s="13"/>
      <c r="F13" s="13"/>
      <c r="G13" s="13"/>
      <c r="H13" s="13"/>
      <c r="I13" s="13"/>
      <c r="J13" s="13"/>
      <c r="K13" s="13"/>
      <c r="L13" s="13"/>
    </row>
    <row r="14" spans="1:12" x14ac:dyDescent="0.3">
      <c r="D14" s="13"/>
      <c r="E14" s="13"/>
      <c r="F14" s="13"/>
      <c r="G14" s="13"/>
      <c r="H14" s="13"/>
      <c r="I14" s="13"/>
      <c r="J14" s="13"/>
      <c r="K14" s="13"/>
      <c r="L14" s="13"/>
    </row>
    <row r="15" spans="1:12" x14ac:dyDescent="0.3">
      <c r="D15" s="13"/>
      <c r="E15" s="13"/>
      <c r="F15" s="13"/>
      <c r="G15" s="13"/>
      <c r="H15" s="13"/>
      <c r="I15" s="13"/>
      <c r="J15" s="13"/>
      <c r="K15" s="13"/>
      <c r="L15" s="13"/>
    </row>
    <row r="16" spans="1:12" x14ac:dyDescent="0.3">
      <c r="D16" s="13"/>
      <c r="E16" s="13"/>
      <c r="F16" s="13"/>
      <c r="G16" s="13"/>
      <c r="H16" s="13"/>
      <c r="I16" s="13"/>
      <c r="J16" s="13"/>
      <c r="K16" s="13"/>
      <c r="L16" s="13"/>
    </row>
    <row r="17" spans="4:12" x14ac:dyDescent="0.3">
      <c r="D17" s="13"/>
      <c r="E17" s="13"/>
      <c r="F17" s="13"/>
      <c r="G17" s="13"/>
      <c r="H17" s="13"/>
      <c r="I17" s="13"/>
      <c r="J17" s="13"/>
      <c r="K17" s="13"/>
      <c r="L17" s="13"/>
    </row>
    <row r="18" spans="4:12" x14ac:dyDescent="0.3">
      <c r="D18" s="13"/>
      <c r="E18" s="13"/>
      <c r="F18" s="13"/>
      <c r="G18" s="13"/>
      <c r="H18" s="13"/>
      <c r="I18" s="13"/>
      <c r="J18" s="13"/>
      <c r="K18" s="13"/>
      <c r="L18" s="13"/>
    </row>
    <row r="19" spans="4:12" x14ac:dyDescent="0.3">
      <c r="D19" s="13"/>
      <c r="E19" s="13"/>
      <c r="F19" s="13"/>
      <c r="G19" s="13"/>
      <c r="H19" s="13"/>
      <c r="I19" s="13"/>
      <c r="J19" s="13"/>
      <c r="K19" s="13"/>
      <c r="L19" s="13"/>
    </row>
    <row r="20" spans="4:12" x14ac:dyDescent="0.3">
      <c r="D20" s="13" t="s">
        <v>628</v>
      </c>
      <c r="E20" s="13"/>
      <c r="F20" s="13"/>
      <c r="G20" s="13"/>
      <c r="H20" s="13"/>
      <c r="I20" s="13"/>
      <c r="J20" s="13"/>
      <c r="K20" s="13"/>
      <c r="L20" s="1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66DE8-096B-437E-81B2-C8A7C017D414}">
  <dimension ref="A2:L22"/>
  <sheetViews>
    <sheetView workbookViewId="0">
      <selection activeCell="I24" sqref="I24"/>
    </sheetView>
  </sheetViews>
  <sheetFormatPr defaultRowHeight="14.4" x14ac:dyDescent="0.3"/>
  <cols>
    <col min="1" max="1" width="13.5546875" bestFit="1" customWidth="1"/>
    <col min="2" max="2" width="19.6640625" bestFit="1" customWidth="1"/>
  </cols>
  <sheetData>
    <row r="2" spans="1:12" x14ac:dyDescent="0.3">
      <c r="D2" s="13"/>
      <c r="E2" s="13"/>
      <c r="F2" s="13"/>
      <c r="G2" s="13"/>
      <c r="H2" s="13"/>
      <c r="I2" s="13"/>
      <c r="J2" s="13"/>
      <c r="K2" s="13"/>
      <c r="L2" s="13"/>
    </row>
    <row r="3" spans="1:12" x14ac:dyDescent="0.3">
      <c r="A3" s="8" t="s">
        <v>610</v>
      </c>
      <c r="B3" t="s">
        <v>612</v>
      </c>
      <c r="D3" s="13"/>
      <c r="E3" s="13"/>
      <c r="F3" s="13"/>
      <c r="G3" s="13"/>
      <c r="H3" s="13"/>
      <c r="I3" s="13"/>
      <c r="J3" s="13"/>
      <c r="K3" s="13"/>
      <c r="L3" s="13"/>
    </row>
    <row r="4" spans="1:12" x14ac:dyDescent="0.3">
      <c r="A4" s="9">
        <v>2024</v>
      </c>
      <c r="B4" s="17">
        <v>22</v>
      </c>
      <c r="D4" s="13"/>
      <c r="E4" s="13"/>
      <c r="F4" s="13"/>
      <c r="G4" s="13"/>
      <c r="H4" s="13"/>
      <c r="I4" s="13"/>
      <c r="J4" s="13"/>
      <c r="K4" s="13"/>
      <c r="L4" s="13"/>
    </row>
    <row r="5" spans="1:12" x14ac:dyDescent="0.3">
      <c r="A5" s="10" t="s">
        <v>615</v>
      </c>
      <c r="B5" s="17">
        <v>1</v>
      </c>
      <c r="D5" s="13"/>
      <c r="E5" s="13"/>
      <c r="F5" s="13"/>
      <c r="G5" s="13"/>
      <c r="H5" s="13"/>
      <c r="I5" s="13"/>
      <c r="J5" s="13"/>
      <c r="K5" s="13"/>
      <c r="L5" s="13"/>
    </row>
    <row r="6" spans="1:12" x14ac:dyDescent="0.3">
      <c r="A6" s="10" t="s">
        <v>616</v>
      </c>
      <c r="B6" s="17">
        <v>1</v>
      </c>
      <c r="D6" s="13"/>
      <c r="E6" s="13"/>
      <c r="F6" s="13"/>
      <c r="G6" s="13"/>
      <c r="H6" s="13"/>
      <c r="I6" s="13"/>
      <c r="J6" s="13"/>
      <c r="K6" s="13"/>
      <c r="L6" s="13"/>
    </row>
    <row r="7" spans="1:12" x14ac:dyDescent="0.3">
      <c r="A7" s="10" t="s">
        <v>617</v>
      </c>
      <c r="B7" s="17">
        <v>3</v>
      </c>
      <c r="D7" s="13"/>
      <c r="E7" s="13"/>
      <c r="F7" s="13"/>
      <c r="G7" s="13"/>
      <c r="H7" s="13"/>
      <c r="I7" s="13"/>
      <c r="J7" s="13"/>
      <c r="K7" s="13"/>
      <c r="L7" s="13"/>
    </row>
    <row r="8" spans="1:12" x14ac:dyDescent="0.3">
      <c r="A8" s="10" t="s">
        <v>618</v>
      </c>
      <c r="B8" s="17">
        <v>2</v>
      </c>
      <c r="D8" s="13"/>
      <c r="E8" s="13"/>
      <c r="F8" s="13"/>
      <c r="G8" s="13"/>
      <c r="H8" s="13"/>
      <c r="I8" s="13"/>
      <c r="J8" s="13"/>
      <c r="K8" s="13"/>
      <c r="L8" s="13"/>
    </row>
    <row r="9" spans="1:12" x14ac:dyDescent="0.3">
      <c r="A9" s="10" t="s">
        <v>619</v>
      </c>
      <c r="B9" s="17">
        <v>2</v>
      </c>
      <c r="D9" s="13"/>
      <c r="E9" s="13"/>
      <c r="F9" s="13"/>
      <c r="G9" s="13"/>
      <c r="H9" s="13"/>
      <c r="I9" s="13"/>
      <c r="J9" s="13"/>
      <c r="K9" s="13"/>
      <c r="L9" s="13"/>
    </row>
    <row r="10" spans="1:12" x14ac:dyDescent="0.3">
      <c r="A10" s="10" t="s">
        <v>620</v>
      </c>
      <c r="B10" s="17">
        <v>2</v>
      </c>
      <c r="D10" s="13"/>
      <c r="E10" s="13"/>
      <c r="F10" s="13"/>
      <c r="G10" s="13"/>
      <c r="H10" s="13"/>
      <c r="I10" s="13"/>
      <c r="J10" s="13"/>
      <c r="K10" s="13"/>
      <c r="L10" s="13"/>
    </row>
    <row r="11" spans="1:12" x14ac:dyDescent="0.3">
      <c r="A11" s="10" t="s">
        <v>621</v>
      </c>
      <c r="B11" s="17">
        <v>1</v>
      </c>
      <c r="D11" s="13"/>
      <c r="E11" s="13"/>
      <c r="F11" s="13"/>
      <c r="G11" s="13"/>
      <c r="H11" s="13"/>
      <c r="I11" s="13"/>
      <c r="J11" s="13"/>
      <c r="K11" s="13"/>
      <c r="L11" s="13"/>
    </row>
    <row r="12" spans="1:12" x14ac:dyDescent="0.3">
      <c r="A12" s="10" t="s">
        <v>622</v>
      </c>
      <c r="B12" s="17">
        <v>2</v>
      </c>
      <c r="D12" s="13"/>
      <c r="E12" s="13"/>
      <c r="F12" s="13"/>
      <c r="G12" s="13"/>
      <c r="H12" s="13"/>
      <c r="I12" s="13"/>
      <c r="J12" s="13"/>
      <c r="K12" s="13"/>
      <c r="L12" s="13"/>
    </row>
    <row r="13" spans="1:12" x14ac:dyDescent="0.3">
      <c r="A13" s="10" t="s">
        <v>623</v>
      </c>
      <c r="B13" s="17">
        <v>2</v>
      </c>
      <c r="D13" s="13"/>
      <c r="E13" s="13"/>
      <c r="F13" s="13"/>
      <c r="G13" s="13"/>
      <c r="H13" s="13"/>
      <c r="I13" s="13"/>
      <c r="J13" s="13"/>
      <c r="K13" s="13"/>
      <c r="L13" s="13"/>
    </row>
    <row r="14" spans="1:12" x14ac:dyDescent="0.3">
      <c r="A14" s="10" t="s">
        <v>624</v>
      </c>
      <c r="B14" s="17">
        <v>3</v>
      </c>
      <c r="D14" s="13"/>
      <c r="E14" s="13"/>
      <c r="F14" s="13"/>
      <c r="G14" s="13"/>
      <c r="H14" s="13"/>
      <c r="I14" s="13"/>
      <c r="J14" s="13"/>
      <c r="K14" s="13"/>
      <c r="L14" s="13"/>
    </row>
    <row r="15" spans="1:12" x14ac:dyDescent="0.3">
      <c r="A15" s="10" t="s">
        <v>625</v>
      </c>
      <c r="B15" s="17">
        <v>3</v>
      </c>
      <c r="D15" s="13"/>
      <c r="E15" s="13"/>
      <c r="F15" s="13"/>
      <c r="G15" s="13"/>
      <c r="H15" s="13"/>
      <c r="I15" s="13"/>
      <c r="J15" s="13"/>
      <c r="K15" s="13"/>
      <c r="L15" s="13"/>
    </row>
    <row r="16" spans="1:12" x14ac:dyDescent="0.3">
      <c r="A16" s="9" t="s">
        <v>611</v>
      </c>
      <c r="B16" s="17">
        <v>22</v>
      </c>
      <c r="D16" s="13"/>
      <c r="E16" s="13"/>
      <c r="F16" s="13"/>
      <c r="G16" s="13"/>
      <c r="H16" s="13"/>
      <c r="I16" s="13"/>
      <c r="J16" s="13"/>
      <c r="K16" s="13"/>
      <c r="L16" s="13"/>
    </row>
    <row r="17" spans="2:12" x14ac:dyDescent="0.3">
      <c r="D17" s="13"/>
      <c r="E17" s="13"/>
      <c r="F17" s="13"/>
      <c r="G17" s="13"/>
      <c r="H17" s="13"/>
      <c r="I17" s="13"/>
      <c r="J17" s="13"/>
      <c r="K17" s="13"/>
      <c r="L17" s="13"/>
    </row>
    <row r="18" spans="2:12" x14ac:dyDescent="0.3">
      <c r="D18" s="13"/>
      <c r="E18" s="13"/>
      <c r="F18" s="13"/>
      <c r="G18" s="13"/>
      <c r="H18" s="13"/>
      <c r="I18" s="13"/>
      <c r="J18" s="13"/>
      <c r="K18" s="13"/>
      <c r="L18" s="13"/>
    </row>
    <row r="19" spans="2:12" x14ac:dyDescent="0.3">
      <c r="B19">
        <f>GETPIVOTDATA("Patient_ID",$A$3)</f>
        <v>22</v>
      </c>
      <c r="D19" s="13"/>
      <c r="E19" s="13"/>
      <c r="F19" s="13"/>
      <c r="G19" s="13"/>
      <c r="H19" s="13"/>
      <c r="I19" s="13"/>
      <c r="J19" s="13"/>
      <c r="K19" s="13"/>
      <c r="L19" s="13"/>
    </row>
    <row r="20" spans="2:12" x14ac:dyDescent="0.3">
      <c r="D20" s="13"/>
      <c r="E20" s="13"/>
      <c r="F20" s="13"/>
      <c r="G20" s="13"/>
      <c r="H20" s="13"/>
      <c r="I20" s="13"/>
      <c r="J20" s="13"/>
      <c r="K20" s="13"/>
      <c r="L20" s="13"/>
    </row>
    <row r="21" spans="2:12" x14ac:dyDescent="0.3">
      <c r="D21" s="13"/>
      <c r="E21" s="13"/>
      <c r="F21" s="13"/>
      <c r="G21" s="13"/>
      <c r="H21" s="13"/>
      <c r="I21" s="13"/>
      <c r="J21" s="13"/>
      <c r="K21" s="13"/>
      <c r="L21" s="13"/>
    </row>
    <row r="22" spans="2:12" x14ac:dyDescent="0.3">
      <c r="D22" s="13"/>
      <c r="E22" s="13"/>
      <c r="F22" s="13"/>
      <c r="G22" s="13"/>
      <c r="H22" s="13"/>
      <c r="I22" s="13"/>
      <c r="J22" s="13"/>
      <c r="K22" s="13"/>
      <c r="L22" s="1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F8B27-10D3-4405-9071-DD729A94FE57}">
  <dimension ref="A1:D19"/>
  <sheetViews>
    <sheetView workbookViewId="0">
      <selection activeCell="D19" sqref="D19"/>
    </sheetView>
  </sheetViews>
  <sheetFormatPr defaultRowHeight="14.4" x14ac:dyDescent="0.3"/>
  <cols>
    <col min="1" max="1" width="13.5546875" bestFit="1" customWidth="1"/>
    <col min="2" max="2" width="19.6640625" bestFit="1" customWidth="1"/>
  </cols>
  <sheetData>
    <row r="1" spans="1:2" x14ac:dyDescent="0.3">
      <c r="A1" s="8" t="s">
        <v>4</v>
      </c>
      <c r="B1" t="s">
        <v>60</v>
      </c>
    </row>
    <row r="3" spans="1:2" x14ac:dyDescent="0.3">
      <c r="A3" s="8" t="s">
        <v>610</v>
      </c>
      <c r="B3" t="s">
        <v>612</v>
      </c>
    </row>
    <row r="4" spans="1:2" x14ac:dyDescent="0.3">
      <c r="A4" s="9" t="s">
        <v>61</v>
      </c>
      <c r="B4" s="17">
        <v>5</v>
      </c>
    </row>
    <row r="5" spans="1:2" x14ac:dyDescent="0.3">
      <c r="A5" s="9" t="s">
        <v>40</v>
      </c>
      <c r="B5" s="17">
        <v>6</v>
      </c>
    </row>
    <row r="6" spans="1:2" x14ac:dyDescent="0.3">
      <c r="A6" s="9" t="s">
        <v>55</v>
      </c>
      <c r="B6" s="17">
        <v>3</v>
      </c>
    </row>
    <row r="7" spans="1:2" x14ac:dyDescent="0.3">
      <c r="A7" s="9" t="s">
        <v>80</v>
      </c>
      <c r="B7" s="17">
        <v>4</v>
      </c>
    </row>
    <row r="8" spans="1:2" x14ac:dyDescent="0.3">
      <c r="A8" s="9" t="s">
        <v>68</v>
      </c>
      <c r="B8" s="17">
        <v>3</v>
      </c>
    </row>
    <row r="9" spans="1:2" x14ac:dyDescent="0.3">
      <c r="A9" s="9" t="s">
        <v>23</v>
      </c>
      <c r="B9" s="17">
        <v>1</v>
      </c>
    </row>
    <row r="10" spans="1:2" x14ac:dyDescent="0.3">
      <c r="A10" s="9" t="s">
        <v>611</v>
      </c>
      <c r="B10" s="17">
        <v>22</v>
      </c>
    </row>
    <row r="19" spans="4:4" x14ac:dyDescent="0.3">
      <c r="D19" s="1" t="s">
        <v>629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Hospital_data</vt:lpstr>
      <vt:lpstr>Dashboard</vt:lpstr>
      <vt:lpstr>Bar chart </vt:lpstr>
      <vt:lpstr>Column chart2</vt:lpstr>
      <vt:lpstr>Column chart</vt:lpstr>
      <vt:lpstr>Pie chart</vt:lpstr>
      <vt:lpstr>Line chart</vt:lpstr>
      <vt:lpstr>Bar chart2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I T Z Z</dc:creator>
  <cp:lastModifiedBy>R I T Z Z</cp:lastModifiedBy>
  <dcterms:created xsi:type="dcterms:W3CDTF">2026-03-25T10:17:49Z</dcterms:created>
  <dcterms:modified xsi:type="dcterms:W3CDTF">2026-03-25T14:12:35Z</dcterms:modified>
</cp:coreProperties>
</file>